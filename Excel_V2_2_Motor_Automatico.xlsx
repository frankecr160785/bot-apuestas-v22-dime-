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TOR" sheetId="2" state="visible" r:id="rId2"/>
    <sheet name="MERCADOS" sheetId="3" state="visible" r:id="rId3"/>
    <sheet name="PARAMETROS" sheetId="4" state="visible" r:id="rId4"/>
    <sheet name="EVALUADOR" sheetId="5" state="visible" r:id="rId5"/>
    <sheet name="BASE_DATOS" sheetId="6" state="visible" r:id="rId6"/>
    <sheet name="ALERTAS" sheetId="7" state="visible" r:id="rId7"/>
    <sheet name="RESULTADOS" sheetId="8" state="visible" r:id="rId8"/>
    <sheet name="DASHBOARD" sheetId="9" state="visible" r:id="rId9"/>
    <sheet name="API_STATS" sheetId="10" state="visible" r:id="rId10"/>
    <sheet name="API_ODDS" sheetId="11" state="visible" r:id="rId11"/>
    <sheet name="CONTROL_API" sheetId="12" state="visible" r:id="rId12"/>
  </sheets>
  <definedNames>
    <definedName name="_xlnm._FilterDatabase" localSheetId="1" hidden="1">'MOTOR'!$A$1:$U$301</definedName>
    <definedName name="_xlnm._FilterDatabase" localSheetId="4" hidden="1">'EVALUADOR'!$A$1:$Z$301</definedName>
    <definedName name="_xlnm._FilterDatabase" localSheetId="5" hidden="1">'BASE_DATOS'!$A$1:$P$501</definedName>
    <definedName name="_xlnm._FilterDatabase" localSheetId="6" hidden="1">'ALERTAS'!$A$1:$K$101</definedName>
    <definedName name="_xlnm._FilterDatabase" localSheetId="7" hidden="1">'RESULTADOS'!$A$1:$J$301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2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35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DESCRIPCIÓN</t>
        </is>
      </c>
    </row>
    <row r="2">
      <c r="A2" s="2" t="inlineStr">
        <is>
          <t>Cuota mínima</t>
        </is>
      </c>
      <c r="B2" s="2" t="n">
        <v>1.5</v>
      </c>
      <c r="C2" s="2" t="inlineStr">
        <is>
          <t>Rango permitido del modelo</t>
        </is>
      </c>
    </row>
    <row r="3">
      <c r="A3" s="2" t="inlineStr">
        <is>
          <t>Cuota máxima</t>
        </is>
      </c>
      <c r="B3" s="2" t="n">
        <v>2.5</v>
      </c>
      <c r="C3" s="2" t="inlineStr">
        <is>
          <t>Rango permitido del modelo</t>
        </is>
      </c>
    </row>
    <row r="4">
      <c r="A4" s="2" t="inlineStr">
        <is>
          <t>Prob. mínima 1.50–1.59</t>
        </is>
      </c>
      <c r="B4" s="3" t="n">
        <v>0.72</v>
      </c>
      <c r="C4" s="2" t="inlineStr">
        <is>
          <t>Filtro escalonado V2.2</t>
        </is>
      </c>
    </row>
    <row r="5">
      <c r="A5" s="2" t="inlineStr">
        <is>
          <t>Prob. mínima 1.60–1.69</t>
        </is>
      </c>
      <c r="B5" s="3" t="n">
        <v>0.7</v>
      </c>
      <c r="C5" s="2" t="inlineStr">
        <is>
          <t>Filtro escalonado V2.2</t>
        </is>
      </c>
    </row>
    <row r="6">
      <c r="A6" s="2" t="inlineStr">
        <is>
          <t>Prob. mínima 1.70–1.79</t>
        </is>
      </c>
      <c r="B6" s="3" t="n">
        <v>0.68</v>
      </c>
      <c r="C6" s="2" t="inlineStr">
        <is>
          <t>Filtro escalonado V2.2</t>
        </is>
      </c>
    </row>
    <row r="7">
      <c r="A7" s="2" t="inlineStr">
        <is>
          <t>Prob. mínima 1.80–1.99</t>
        </is>
      </c>
      <c r="B7" s="3" t="n">
        <v>0.66</v>
      </c>
      <c r="C7" s="2" t="inlineStr">
        <is>
          <t>Filtro escalonado V2.2</t>
        </is>
      </c>
    </row>
    <row r="8">
      <c r="A8" s="2" t="inlineStr">
        <is>
          <t>Prob. mínima 2.00–2.19</t>
        </is>
      </c>
      <c r="B8" s="3" t="n">
        <v>0.64</v>
      </c>
      <c r="C8" s="2" t="inlineStr">
        <is>
          <t>Filtro escalonado V2.2</t>
        </is>
      </c>
    </row>
    <row r="9">
      <c r="A9" s="2" t="inlineStr">
        <is>
          <t>Prob. mínima 2.20–2.50</t>
        </is>
      </c>
      <c r="B9" s="3" t="n">
        <v>0.62</v>
      </c>
      <c r="C9" s="2" t="inlineStr">
        <is>
          <t>Filtro escalonado V2.2</t>
        </is>
      </c>
    </row>
    <row r="10">
      <c r="A10" s="2" t="inlineStr">
        <is>
          <t>EV mínimo</t>
        </is>
      </c>
      <c r="B10" s="3" t="n">
        <v>0.05</v>
      </c>
      <c r="C10" s="2" t="inlineStr">
        <is>
          <t>Ventaja mínima del modelo</t>
        </is>
      </c>
    </row>
    <row r="11">
      <c r="A11" s="2" t="inlineStr">
        <is>
          <t>Confianza fuerte</t>
        </is>
      </c>
      <c r="B11" s="2" t="n">
        <v>80</v>
      </c>
      <c r="C11" s="2" t="inlineStr">
        <is>
          <t>Puntuación mínima para ALERTA FUERTE</t>
        </is>
      </c>
    </row>
    <row r="12">
      <c r="A12" s="2" t="inlineStr">
        <is>
          <t>Confianza media</t>
        </is>
      </c>
      <c r="B12" s="2" t="n">
        <v>70</v>
      </c>
      <c r="C12" s="2" t="inlineStr">
        <is>
          <t>Puntuación mínima para ALERTA MEDIA</t>
        </is>
      </c>
    </row>
    <row r="13">
      <c r="A13" s="2" t="inlineStr">
        <is>
          <t>Muestra mínima</t>
        </is>
      </c>
      <c r="B13" s="2" t="n">
        <v>5</v>
      </c>
      <c r="C13" s="2" t="inlineStr">
        <is>
          <t>Partidos necesarios para una señal estadística</t>
        </is>
      </c>
    </row>
    <row r="14">
      <c r="A14" s="2" t="inlineStr">
        <is>
          <t>Mercados</t>
        </is>
      </c>
      <c r="B14" s="2" t="inlineStr">
        <is>
          <t>Ganador;Doble oportunidad;Goles;Córners;Tarjetas;Remates totales;Remates jugador;Pases totales;Faltas totales;Faltas jugador</t>
        </is>
      </c>
      <c r="C14" s="2" t="inlineStr">
        <is>
          <t>Mercados contemplados</t>
        </is>
      </c>
    </row>
    <row r="17" ht="45" customHeight="1">
      <c r="A17" t="inlineStr">
        <is>
          <t>NOTA</t>
        </is>
      </c>
      <c r="B17" s="4" t="inlineStr">
        <is>
          <t>Los valores 0–1 representan evidencia favorable para ese criterio. 1 = muy favorable; 0 = desfavorable. La probabilidad del modelo debe ser una estimación basada en los datos, no una garantía.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2" customWidth="1" min="4" max="4"/>
    <col width="28" customWidth="1" min="5" max="5"/>
    <col width="10" customWidth="1" min="6" max="6"/>
    <col width="10" customWidth="1" min="7" max="7"/>
    <col width="11" customWidth="1" min="8" max="8"/>
    <col width="11" customWidth="1" min="9" max="9"/>
    <col width="13" customWidth="1" min="10" max="10"/>
    <col width="12" customWidth="1" min="11" max="11"/>
    <col width="14" customWidth="1" min="12" max="12"/>
    <col width="9" customWidth="1" min="13" max="13"/>
    <col width="10" customWidth="1" min="14" max="14"/>
    <col width="14" customWidth="1" min="15" max="15"/>
    <col width="15" customWidth="1" min="16" max="16"/>
    <col width="12" customWidth="1" min="17" max="17"/>
    <col width="12" customWidth="1" min="18" max="18"/>
    <col width="10" customWidth="1" min="19" max="19"/>
    <col width="18" customWidth="1" min="20" max="20"/>
    <col width="42" customWidth="1" min="21" max="21"/>
    <col width="55" customWidth="1" min="23" max="23"/>
  </cols>
  <sheetData>
    <row r="1">
      <c r="A1" s="5" t="inlineStr">
        <is>
          <t>ID</t>
        </is>
      </c>
      <c r="B1" s="5" t="inlineStr">
        <is>
          <t>FECHA</t>
        </is>
      </c>
      <c r="C1" s="5" t="inlineStr">
        <is>
          <t>PARTIDO</t>
        </is>
      </c>
      <c r="D1" s="5" t="inlineStr">
        <is>
          <t>MERCADO</t>
        </is>
      </c>
      <c r="E1" s="5" t="inlineStr">
        <is>
          <t>SELECCIÓN</t>
        </is>
      </c>
      <c r="F1" s="5" t="inlineStr">
        <is>
          <t>CUOTA</t>
        </is>
      </c>
      <c r="G1" s="5" t="inlineStr">
        <is>
          <t>MUESTRA</t>
        </is>
      </c>
      <c r="H1" s="5" t="inlineStr">
        <is>
          <t>FREC_5</t>
        </is>
      </c>
      <c r="I1" s="5" t="inlineStr">
        <is>
          <t>FREC_10</t>
        </is>
      </c>
      <c r="J1" s="5" t="inlineStr">
        <is>
          <t>LOCAL_VISIT</t>
        </is>
      </c>
      <c r="K1" s="5" t="inlineStr">
        <is>
          <t>TENDENCIA</t>
        </is>
      </c>
      <c r="L1" s="5" t="inlineStr">
        <is>
          <t>CONSISTENCIA</t>
        </is>
      </c>
      <c r="M1" s="5" t="inlineStr">
        <is>
          <t>H2H</t>
        </is>
      </c>
      <c r="N1" s="5" t="inlineStr">
        <is>
          <t>CONTEXTO</t>
        </is>
      </c>
      <c r="O1" s="5" t="inlineStr">
        <is>
          <t>PROB_MODELO</t>
        </is>
      </c>
      <c r="P1" s="5" t="inlineStr">
        <is>
          <t>PROB_IMPLÍCITA</t>
        </is>
      </c>
      <c r="Q1" s="5" t="inlineStr">
        <is>
          <t>MARGEN_PP</t>
        </is>
      </c>
      <c r="R1" s="5" t="inlineStr">
        <is>
          <t>EV</t>
        </is>
      </c>
      <c r="S1" s="5" t="inlineStr">
        <is>
          <t>SCORE</t>
        </is>
      </c>
      <c r="T1" s="5" t="inlineStr">
        <is>
          <t>DECISIÓN</t>
        </is>
      </c>
      <c r="U1" s="5" t="inlineStr">
        <is>
          <t>RAZÓN</t>
        </is>
      </c>
      <c r="W1" s="8" t="inlineStr">
        <is>
          <t>INSTRUCCIONES</t>
        </is>
      </c>
    </row>
    <row r="2">
      <c r="A2" s="2">
        <f>IF(C2="","",ROW()-1)</f>
        <v/>
      </c>
      <c r="B2" s="2" t="inlineStr">
        <is>
          <t>2026-08-20</t>
        </is>
      </c>
      <c r="C2" s="2" t="inlineStr">
        <is>
          <t>EJEMPLO A vs B</t>
        </is>
      </c>
      <c r="D2" s="2" t="inlineStr">
        <is>
          <t>Córners</t>
        </is>
      </c>
      <c r="E2" s="2" t="inlineStr">
        <is>
          <t>Más de 8.5</t>
        </is>
      </c>
      <c r="F2" s="6" t="n">
        <v>1.82</v>
      </c>
      <c r="G2" s="2" t="n">
        <v>10</v>
      </c>
      <c r="H2" s="7" t="n">
        <v>0.8</v>
      </c>
      <c r="I2" s="7" t="n">
        <v>0.75</v>
      </c>
      <c r="J2" s="7" t="n">
        <v>0.82</v>
      </c>
      <c r="K2" s="7" t="n">
        <v>0.8</v>
      </c>
      <c r="L2" s="7" t="n">
        <v>0.78</v>
      </c>
      <c r="M2" s="7" t="n">
        <v>0.65</v>
      </c>
      <c r="N2" s="7" t="n">
        <v>0.85</v>
      </c>
      <c r="O2" s="7">
        <f>IF(C2="","",MAX(0.05,MIN(0.95,0.20*H2+0.15*I2+0.15*J2+0.25*K2+0.10*L2+0.05*M2+0.10*N2)))</f>
        <v/>
      </c>
      <c r="P2" s="7">
        <f>IFERROR(1/F2,"")</f>
        <v/>
      </c>
      <c r="Q2" s="7">
        <f>IF(OR(O2="",P2=""),"",O2-P2)</f>
        <v/>
      </c>
      <c r="R2" s="7">
        <f>IF(OR(O2="",F2=""),"",O2*F2-1)</f>
        <v/>
      </c>
      <c r="S2" s="2">
        <f>IF(C2="","",ROUND(100*(0.20*H2+0.15*I2+0.15*J2+0.25*K2+0.10*L2+0.05*M2+0.10*N2),0))</f>
        <v/>
      </c>
      <c r="T2" s="2">
        <f>IF(C2="","",IF(OR(F2&lt;PARAMETROS!$B$12,F2&gt;PARAMETROS!$B$13,G2&lt;PARAMETROS!$B$11),"NO APTO",IF(O2&lt;IF(F2&lt;1.6,CONFIG!$B$4,IF(F2&lt;1.7,CONFIG!$B$5,IF(F2&lt;1.8,CONFIG!$B$6,IF(F2&lt;2,CONFIG!$B$7,IF(F2&lt;2.2,CONFIG!$B$8,CONFIG!$B$9))))),"NO APTO",IF(R2&lt;PARAMETROS!$B$14,"NO APTO",IF(S2&gt;=PARAMETROS!$B$10,"ALERTA FUERTE",IF(S2&gt;=PARAMETROS!$B$9,"ALERTA MEDIA","NO APTO"))))))</f>
        <v/>
      </c>
      <c r="U2" s="2">
        <f>IF(T2="","",IF(T2="NO APTO","No cumple uno o más filtros",IF(T2="ALERTA FUERTE","Probabilidad, EV, muestra y score superan filtros","Cumple filtros con confianza media")))</f>
        <v/>
      </c>
      <c r="W2" t="inlineStr">
        <is>
          <t>1) Introduce cuota y muestra.</t>
        </is>
      </c>
    </row>
    <row r="3">
      <c r="A3" s="2">
        <f>IF(C3="","",ROW()-1)</f>
        <v/>
      </c>
      <c r="B3" s="2" t="n"/>
      <c r="C3" s="2" t="n"/>
      <c r="D3" s="2" t="n"/>
      <c r="E3" s="2" t="n"/>
      <c r="F3" s="6" t="n"/>
      <c r="G3" s="2" t="n"/>
      <c r="H3" s="7" t="n"/>
      <c r="I3" s="7" t="n"/>
      <c r="J3" s="7" t="n"/>
      <c r="K3" s="7" t="n"/>
      <c r="L3" s="7" t="n"/>
      <c r="M3" s="7" t="n"/>
      <c r="N3" s="7" t="n"/>
      <c r="O3" s="7">
        <f>IF(C3="","",MAX(0.05,MIN(0.95,0.20*H3+0.15*I3+0.15*J3+0.25*K3+0.10*L3+0.05*M3+0.10*N3)))</f>
        <v/>
      </c>
      <c r="P3" s="7">
        <f>IFERROR(1/F3,"")</f>
        <v/>
      </c>
      <c r="Q3" s="7">
        <f>IF(OR(O3="",P3=""),"",O3-P3)</f>
        <v/>
      </c>
      <c r="R3" s="7">
        <f>IF(OR(O3="",F3=""),"",O3*F3-1)</f>
        <v/>
      </c>
      <c r="S3" s="2">
        <f>IF(C3="","",ROUND(100*(0.20*H3+0.15*I3+0.15*J3+0.25*K3+0.10*L3+0.05*M3+0.10*N3),0))</f>
        <v/>
      </c>
      <c r="T3" s="2">
        <f>IF(C3="","",IF(OR(F3&lt;PARAMETROS!$B$12,F3&gt;PARAMETROS!$B$13,G3&lt;PARAMETROS!$B$11),"NO APTO",IF(O3&lt;IF(F3&lt;1.6,CONFIG!$B$4,IF(F3&lt;1.7,CONFIG!$B$5,IF(F3&lt;1.8,CONFIG!$B$6,IF(F3&lt;2,CONFIG!$B$7,IF(F3&lt;2.2,CONFIG!$B$8,CONFIG!$B$9))))),"NO APTO",IF(R3&lt;PARAMETROS!$B$14,"NO APTO",IF(S3&gt;=PARAMETROS!$B$10,"ALERTA FUERTE",IF(S3&gt;=PARAMETROS!$B$9,"ALERTA MEDIA","NO APTO"))))))</f>
        <v/>
      </c>
      <c r="U3" s="2">
        <f>IF(T3="","",IF(T3="NO APTO","No cumple uno o más filtros",IF(T3="ALERTA FUERTE","Probabilidad, EV, muestra y score superan filtros","Cumple filtros con confianza media")))</f>
        <v/>
      </c>
      <c r="W3" t="inlineStr">
        <is>
          <t>2) Coloca indicadores 0–1: 1 muy favorable; 0 desfavorable.</t>
        </is>
      </c>
    </row>
    <row r="4">
      <c r="A4" s="2">
        <f>IF(C4="","",ROW()-1)</f>
        <v/>
      </c>
      <c r="B4" s="2" t="n"/>
      <c r="C4" s="2" t="n"/>
      <c r="D4" s="2" t="n"/>
      <c r="E4" s="2" t="n"/>
      <c r="F4" s="6" t="n"/>
      <c r="G4" s="2" t="n"/>
      <c r="H4" s="7" t="n"/>
      <c r="I4" s="7" t="n"/>
      <c r="J4" s="7" t="n"/>
      <c r="K4" s="7" t="n"/>
      <c r="L4" s="7" t="n"/>
      <c r="M4" s="7" t="n"/>
      <c r="N4" s="7" t="n"/>
      <c r="O4" s="7">
        <f>IF(C4="","",MAX(0.05,MIN(0.95,0.20*H4+0.15*I4+0.15*J4+0.25*K4+0.10*L4+0.05*M4+0.10*N4)))</f>
        <v/>
      </c>
      <c r="P4" s="7">
        <f>IFERROR(1/F4,"")</f>
        <v/>
      </c>
      <c r="Q4" s="7">
        <f>IF(OR(O4="",P4=""),"",O4-P4)</f>
        <v/>
      </c>
      <c r="R4" s="7">
        <f>IF(OR(O4="",F4=""),"",O4*F4-1)</f>
        <v/>
      </c>
      <c r="S4" s="2">
        <f>IF(C4="","",ROUND(100*(0.20*H4+0.15*I4+0.15*J4+0.25*K4+0.10*L4+0.05*M4+0.10*N4),0))</f>
        <v/>
      </c>
      <c r="T4" s="2">
        <f>IF(C4="","",IF(OR(F4&lt;PARAMETROS!$B$12,F4&gt;PARAMETROS!$B$13,G4&lt;PARAMETROS!$B$11),"NO APTO",IF(O4&lt;IF(F4&lt;1.6,CONFIG!$B$4,IF(F4&lt;1.7,CONFIG!$B$5,IF(F4&lt;1.8,CONFIG!$B$6,IF(F4&lt;2,CONFIG!$B$7,IF(F4&lt;2.2,CONFIG!$B$8,CONFIG!$B$9))))),"NO APTO",IF(R4&lt;PARAMETROS!$B$14,"NO APTO",IF(S4&gt;=PARAMETROS!$B$10,"ALERTA FUERTE",IF(S4&gt;=PARAMETROS!$B$9,"ALERTA MEDIA","NO APTO"))))))</f>
        <v/>
      </c>
      <c r="U4" s="2">
        <f>IF(T4="","",IF(T4="NO APTO","No cumple uno o más filtros",IF(T4="ALERTA FUERTE","Probabilidad, EV, muestra y score superan filtros","Cumple filtros con confianza media")))</f>
        <v/>
      </c>
      <c r="W4" t="inlineStr">
        <is>
          <t>3) O = probabilidad propia calculada por pesos.</t>
        </is>
      </c>
    </row>
    <row r="5">
      <c r="A5" s="2">
        <f>IF(C5="","",ROW()-1)</f>
        <v/>
      </c>
      <c r="B5" s="2" t="n"/>
      <c r="C5" s="2" t="n"/>
      <c r="D5" s="2" t="n"/>
      <c r="E5" s="2" t="n"/>
      <c r="F5" s="6" t="n"/>
      <c r="G5" s="2" t="n"/>
      <c r="H5" s="7" t="n"/>
      <c r="I5" s="7" t="n"/>
      <c r="J5" s="7" t="n"/>
      <c r="K5" s="7" t="n"/>
      <c r="L5" s="7" t="n"/>
      <c r="M5" s="7" t="n"/>
      <c r="N5" s="7" t="n"/>
      <c r="O5" s="7">
        <f>IF(C5="","",MAX(0.05,MIN(0.95,0.20*H5+0.15*I5+0.15*J5+0.25*K5+0.10*L5+0.05*M5+0.10*N5)))</f>
        <v/>
      </c>
      <c r="P5" s="7">
        <f>IFERROR(1/F5,"")</f>
        <v/>
      </c>
      <c r="Q5" s="7">
        <f>IF(OR(O5="",P5=""),"",O5-P5)</f>
        <v/>
      </c>
      <c r="R5" s="7">
        <f>IF(OR(O5="",F5=""),"",O5*F5-1)</f>
        <v/>
      </c>
      <c r="S5" s="2">
        <f>IF(C5="","",ROUND(100*(0.20*H5+0.15*I5+0.15*J5+0.25*K5+0.10*L5+0.05*M5+0.10*N5),0))</f>
        <v/>
      </c>
      <c r="T5" s="2">
        <f>IF(C5="","",IF(OR(F5&lt;PARAMETROS!$B$12,F5&gt;PARAMETROS!$B$13,G5&lt;PARAMETROS!$B$11),"NO APTO",IF(O5&lt;IF(F5&lt;1.6,CONFIG!$B$4,IF(F5&lt;1.7,CONFIG!$B$5,IF(F5&lt;1.8,CONFIG!$B$6,IF(F5&lt;2,CONFIG!$B$7,IF(F5&lt;2.2,CONFIG!$B$8,CONFIG!$B$9))))),"NO APTO",IF(R5&lt;PARAMETROS!$B$14,"NO APTO",IF(S5&gt;=PARAMETROS!$B$10,"ALERTA FUERTE",IF(S5&gt;=PARAMETROS!$B$9,"ALERTA MEDIA","NO APTO"))))))</f>
        <v/>
      </c>
      <c r="U5" s="2">
        <f>IF(T5="","",IF(T5="NO APTO","No cumple uno o más filtros",IF(T5="ALERTA FUERTE","Probabilidad, EV, muestra y score superan filtros","Cumple filtros con confianza media")))</f>
        <v/>
      </c>
      <c r="W5" t="inlineStr">
        <is>
          <t>4) P = probabilidad implícita.</t>
        </is>
      </c>
    </row>
    <row r="6">
      <c r="A6" s="2">
        <f>IF(C6="","",ROW()-1)</f>
        <v/>
      </c>
      <c r="B6" s="2" t="n"/>
      <c r="C6" s="2" t="n"/>
      <c r="D6" s="2" t="n"/>
      <c r="E6" s="2" t="n"/>
      <c r="F6" s="6" t="n"/>
      <c r="G6" s="2" t="n"/>
      <c r="H6" s="7" t="n"/>
      <c r="I6" s="7" t="n"/>
      <c r="J6" s="7" t="n"/>
      <c r="K6" s="7" t="n"/>
      <c r="L6" s="7" t="n"/>
      <c r="M6" s="7" t="n"/>
      <c r="N6" s="7" t="n"/>
      <c r="O6" s="7">
        <f>IF(C6="","",MAX(0.05,MIN(0.95,0.20*H6+0.15*I6+0.15*J6+0.25*K6+0.10*L6+0.05*M6+0.10*N6)))</f>
        <v/>
      </c>
      <c r="P6" s="7">
        <f>IFERROR(1/F6,"")</f>
        <v/>
      </c>
      <c r="Q6" s="7">
        <f>IF(OR(O6="",P6=""),"",O6-P6)</f>
        <v/>
      </c>
      <c r="R6" s="7">
        <f>IF(OR(O6="",F6=""),"",O6*F6-1)</f>
        <v/>
      </c>
      <c r="S6" s="2">
        <f>IF(C6="","",ROUND(100*(0.20*H6+0.15*I6+0.15*J6+0.25*K6+0.10*L6+0.05*M6+0.10*N6),0))</f>
        <v/>
      </c>
      <c r="T6" s="2">
        <f>IF(C6="","",IF(OR(F6&lt;PARAMETROS!$B$12,F6&gt;PARAMETROS!$B$13,G6&lt;PARAMETROS!$B$11),"NO APTO",IF(O6&lt;IF(F6&lt;1.6,CONFIG!$B$4,IF(F6&lt;1.7,CONFIG!$B$5,IF(F6&lt;1.8,CONFIG!$B$6,IF(F6&lt;2,CONFIG!$B$7,IF(F6&lt;2.2,CONFIG!$B$8,CONFIG!$B$9))))),"NO APTO",IF(R6&lt;PARAMETROS!$B$14,"NO APTO",IF(S6&gt;=PARAMETROS!$B$10,"ALERTA FUERTE",IF(S6&gt;=PARAMETROS!$B$9,"ALERTA MEDIA","NO APTO"))))))</f>
        <v/>
      </c>
      <c r="U6" s="2">
        <f>IF(T6="","",IF(T6="NO APTO","No cumple uno o más filtros",IF(T6="ALERTA FUERTE","Probabilidad, EV, muestra y score superan filtros","Cumple filtros con confianza media")))</f>
        <v/>
      </c>
      <c r="W6" t="inlineStr">
        <is>
          <t>5) R = EV.</t>
        </is>
      </c>
    </row>
    <row r="7">
      <c r="A7" s="2">
        <f>IF(C7="","",ROW()-1)</f>
        <v/>
      </c>
      <c r="B7" s="2" t="n"/>
      <c r="C7" s="2" t="n"/>
      <c r="D7" s="2" t="n"/>
      <c r="E7" s="2" t="n"/>
      <c r="F7" s="6" t="n"/>
      <c r="G7" s="2" t="n"/>
      <c r="H7" s="7" t="n"/>
      <c r="I7" s="7" t="n"/>
      <c r="J7" s="7" t="n"/>
      <c r="K7" s="7" t="n"/>
      <c r="L7" s="7" t="n"/>
      <c r="M7" s="7" t="n"/>
      <c r="N7" s="7" t="n"/>
      <c r="O7" s="7">
        <f>IF(C7="","",MAX(0.05,MIN(0.95,0.20*H7+0.15*I7+0.15*J7+0.25*K7+0.10*L7+0.05*M7+0.10*N7)))</f>
        <v/>
      </c>
      <c r="P7" s="7">
        <f>IFERROR(1/F7,"")</f>
        <v/>
      </c>
      <c r="Q7" s="7">
        <f>IF(OR(O7="",P7=""),"",O7-P7)</f>
        <v/>
      </c>
      <c r="R7" s="7">
        <f>IF(OR(O7="",F7=""),"",O7*F7-1)</f>
        <v/>
      </c>
      <c r="S7" s="2">
        <f>IF(C7="","",ROUND(100*(0.20*H7+0.15*I7+0.15*J7+0.25*K7+0.10*L7+0.05*M7+0.10*N7),0))</f>
        <v/>
      </c>
      <c r="T7" s="2">
        <f>IF(C7="","",IF(OR(F7&lt;PARAMETROS!$B$12,F7&gt;PARAMETROS!$B$13,G7&lt;PARAMETROS!$B$11),"NO APTO",IF(O7&lt;IF(F7&lt;1.6,CONFIG!$B$4,IF(F7&lt;1.7,CONFIG!$B$5,IF(F7&lt;1.8,CONFIG!$B$6,IF(F7&lt;2,CONFIG!$B$7,IF(F7&lt;2.2,CONFIG!$B$8,CONFIG!$B$9))))),"NO APTO",IF(R7&lt;PARAMETROS!$B$14,"NO APTO",IF(S7&gt;=PARAMETROS!$B$10,"ALERTA FUERTE",IF(S7&gt;=PARAMETROS!$B$9,"ALERTA MEDIA","NO APTO"))))))</f>
        <v/>
      </c>
      <c r="U7" s="2">
        <f>IF(T7="","",IF(T7="NO APTO","No cumple uno o más filtros",IF(T7="ALERTA FUERTE","Probabilidad, EV, muestra y score superan filtros","Cumple filtros con confianza media")))</f>
        <v/>
      </c>
      <c r="W7" t="inlineStr">
        <is>
          <t>6) T = decisión.</t>
        </is>
      </c>
    </row>
    <row r="8">
      <c r="A8" s="2">
        <f>IF(C8="","",ROW()-1)</f>
        <v/>
      </c>
      <c r="B8" s="2" t="n"/>
      <c r="C8" s="2" t="n"/>
      <c r="D8" s="2" t="n"/>
      <c r="E8" s="2" t="n"/>
      <c r="F8" s="6" t="n"/>
      <c r="G8" s="2" t="n"/>
      <c r="H8" s="7" t="n"/>
      <c r="I8" s="7" t="n"/>
      <c r="J8" s="7" t="n"/>
      <c r="K8" s="7" t="n"/>
      <c r="L8" s="7" t="n"/>
      <c r="M8" s="7" t="n"/>
      <c r="N8" s="7" t="n"/>
      <c r="O8" s="7">
        <f>IF(C8="","",MAX(0.05,MIN(0.95,0.20*H8+0.15*I8+0.15*J8+0.25*K8+0.10*L8+0.05*M8+0.10*N8)))</f>
        <v/>
      </c>
      <c r="P8" s="7">
        <f>IFERROR(1/F8,"")</f>
        <v/>
      </c>
      <c r="Q8" s="7">
        <f>IF(OR(O8="",P8=""),"",O8-P8)</f>
        <v/>
      </c>
      <c r="R8" s="7">
        <f>IF(OR(O8="",F8=""),"",O8*F8-1)</f>
        <v/>
      </c>
      <c r="S8" s="2">
        <f>IF(C8="","",ROUND(100*(0.20*H8+0.15*I8+0.15*J8+0.25*K8+0.10*L8+0.05*M8+0.10*N8),0))</f>
        <v/>
      </c>
      <c r="T8" s="2">
        <f>IF(C8="","",IF(OR(F8&lt;PARAMETROS!$B$12,F8&gt;PARAMETROS!$B$13,G8&lt;PARAMETROS!$B$11),"NO APTO",IF(O8&lt;IF(F8&lt;1.6,CONFIG!$B$4,IF(F8&lt;1.7,CONFIG!$B$5,IF(F8&lt;1.8,CONFIG!$B$6,IF(F8&lt;2,CONFIG!$B$7,IF(F8&lt;2.2,CONFIG!$B$8,CONFIG!$B$9))))),"NO APTO",IF(R8&lt;PARAMETROS!$B$14,"NO APTO",IF(S8&gt;=PARAMETROS!$B$10,"ALERTA FUERTE",IF(S8&gt;=PARAMETROS!$B$9,"ALERTA MEDIA","NO APTO"))))))</f>
        <v/>
      </c>
      <c r="U8" s="2">
        <f>IF(T8="","",IF(T8="NO APTO","No cumple uno o más filtros",IF(T8="ALERTA FUERTE","Probabilidad, EV, muestra y score superan filtros","Cumple filtros con confianza media")))</f>
        <v/>
      </c>
      <c r="W8" t="inlineStr">
        <is>
          <t>7) Sustituir los valores manuales por datos API en la siguiente integración.</t>
        </is>
      </c>
    </row>
    <row r="9">
      <c r="A9" s="2">
        <f>IF(C9="","",ROW()-1)</f>
        <v/>
      </c>
      <c r="B9" s="2" t="n"/>
      <c r="C9" s="2" t="n"/>
      <c r="D9" s="2" t="n"/>
      <c r="E9" s="2" t="n"/>
      <c r="F9" s="6" t="n"/>
      <c r="G9" s="2" t="n"/>
      <c r="H9" s="7" t="n"/>
      <c r="I9" s="7" t="n"/>
      <c r="J9" s="7" t="n"/>
      <c r="K9" s="7" t="n"/>
      <c r="L9" s="7" t="n"/>
      <c r="M9" s="7" t="n"/>
      <c r="N9" s="7" t="n"/>
      <c r="O9" s="7">
        <f>IF(C9="","",MAX(0.05,MIN(0.95,0.20*H9+0.15*I9+0.15*J9+0.25*K9+0.10*L9+0.05*M9+0.10*N9)))</f>
        <v/>
      </c>
      <c r="P9" s="7">
        <f>IFERROR(1/F9,"")</f>
        <v/>
      </c>
      <c r="Q9" s="7">
        <f>IF(OR(O9="",P9=""),"",O9-P9)</f>
        <v/>
      </c>
      <c r="R9" s="7">
        <f>IF(OR(O9="",F9=""),"",O9*F9-1)</f>
        <v/>
      </c>
      <c r="S9" s="2">
        <f>IF(C9="","",ROUND(100*(0.20*H9+0.15*I9+0.15*J9+0.25*K9+0.10*L9+0.05*M9+0.10*N9),0))</f>
        <v/>
      </c>
      <c r="T9" s="2">
        <f>IF(C9="","",IF(OR(F9&lt;PARAMETROS!$B$12,F9&gt;PARAMETROS!$B$13,G9&lt;PARAMETROS!$B$11),"NO APTO",IF(O9&lt;IF(F9&lt;1.6,CONFIG!$B$4,IF(F9&lt;1.7,CONFIG!$B$5,IF(F9&lt;1.8,CONFIG!$B$6,IF(F9&lt;2,CONFIG!$B$7,IF(F9&lt;2.2,CONFIG!$B$8,CONFIG!$B$9))))),"NO APTO",IF(R9&lt;PARAMETROS!$B$14,"NO APTO",IF(S9&gt;=PARAMETROS!$B$10,"ALERTA FUERTE",IF(S9&gt;=PARAMETROS!$B$9,"ALERTA MEDIA","NO APTO"))))))</f>
        <v/>
      </c>
      <c r="U9" s="2">
        <f>IF(T9="","",IF(T9="NO APTO","No cumple uno o más filtros",IF(T9="ALERTA FUERTE","Probabilidad, EV, muestra y score superan filtros","Cumple filtros con confianza media")))</f>
        <v/>
      </c>
    </row>
    <row r="10">
      <c r="A10" s="2">
        <f>IF(C10="","",ROW()-1)</f>
        <v/>
      </c>
      <c r="B10" s="2" t="n"/>
      <c r="C10" s="2" t="n"/>
      <c r="D10" s="2" t="n"/>
      <c r="E10" s="2" t="n"/>
      <c r="F10" s="6" t="n"/>
      <c r="G10" s="2" t="n"/>
      <c r="H10" s="7" t="n"/>
      <c r="I10" s="7" t="n"/>
      <c r="J10" s="7" t="n"/>
      <c r="K10" s="7" t="n"/>
      <c r="L10" s="7" t="n"/>
      <c r="M10" s="7" t="n"/>
      <c r="N10" s="7" t="n"/>
      <c r="O10" s="7">
        <f>IF(C10="","",MAX(0.05,MIN(0.95,0.20*H10+0.15*I10+0.15*J10+0.25*K10+0.10*L10+0.05*M10+0.10*N10)))</f>
        <v/>
      </c>
      <c r="P10" s="7">
        <f>IFERROR(1/F10,"")</f>
        <v/>
      </c>
      <c r="Q10" s="7">
        <f>IF(OR(O10="",P10=""),"",O10-P10)</f>
        <v/>
      </c>
      <c r="R10" s="7">
        <f>IF(OR(O10="",F10=""),"",O10*F10-1)</f>
        <v/>
      </c>
      <c r="S10" s="2">
        <f>IF(C10="","",ROUND(100*(0.20*H10+0.15*I10+0.15*J10+0.25*K10+0.10*L10+0.05*M10+0.10*N10),0))</f>
        <v/>
      </c>
      <c r="T10" s="2">
        <f>IF(C10="","",IF(OR(F10&lt;PARAMETROS!$B$12,F10&gt;PARAMETROS!$B$13,G10&lt;PARAMETROS!$B$11),"NO APTO",IF(O10&lt;IF(F10&lt;1.6,CONFIG!$B$4,IF(F10&lt;1.7,CONFIG!$B$5,IF(F10&lt;1.8,CONFIG!$B$6,IF(F10&lt;2,CONFIG!$B$7,IF(F10&lt;2.2,CONFIG!$B$8,CONFIG!$B$9))))),"NO APTO",IF(R10&lt;PARAMETROS!$B$14,"NO APTO",IF(S10&gt;=PARAMETROS!$B$10,"ALERTA FUERTE",IF(S10&gt;=PARAMETROS!$B$9,"ALERTA MEDIA","NO APTO"))))))</f>
        <v/>
      </c>
      <c r="U10" s="2">
        <f>IF(T10="","",IF(T10="NO APTO","No cumple uno o más filtros",IF(T10="ALERTA FUERTE","Probabilidad, EV, muestra y score superan filtros","Cumple filtros con confianza media")))</f>
        <v/>
      </c>
    </row>
    <row r="11">
      <c r="A11" s="2">
        <f>IF(C11="","",ROW()-1)</f>
        <v/>
      </c>
      <c r="B11" s="2" t="n"/>
      <c r="C11" s="2" t="n"/>
      <c r="D11" s="2" t="n"/>
      <c r="E11" s="2" t="n"/>
      <c r="F11" s="6" t="n"/>
      <c r="G11" s="2" t="n"/>
      <c r="H11" s="7" t="n"/>
      <c r="I11" s="7" t="n"/>
      <c r="J11" s="7" t="n"/>
      <c r="K11" s="7" t="n"/>
      <c r="L11" s="7" t="n"/>
      <c r="M11" s="7" t="n"/>
      <c r="N11" s="7" t="n"/>
      <c r="O11" s="7">
        <f>IF(C11="","",MAX(0.05,MIN(0.95,0.20*H11+0.15*I11+0.15*J11+0.25*K11+0.10*L11+0.05*M11+0.10*N11)))</f>
        <v/>
      </c>
      <c r="P11" s="7">
        <f>IFERROR(1/F11,"")</f>
        <v/>
      </c>
      <c r="Q11" s="7">
        <f>IF(OR(O11="",P11=""),"",O11-P11)</f>
        <v/>
      </c>
      <c r="R11" s="7">
        <f>IF(OR(O11="",F11=""),"",O11*F11-1)</f>
        <v/>
      </c>
      <c r="S11" s="2">
        <f>IF(C11="","",ROUND(100*(0.20*H11+0.15*I11+0.15*J11+0.25*K11+0.10*L11+0.05*M11+0.10*N11),0))</f>
        <v/>
      </c>
      <c r="T11" s="2">
        <f>IF(C11="","",IF(OR(F11&lt;PARAMETROS!$B$12,F11&gt;PARAMETROS!$B$13,G11&lt;PARAMETROS!$B$11),"NO APTO",IF(O11&lt;IF(F11&lt;1.6,CONFIG!$B$4,IF(F11&lt;1.7,CONFIG!$B$5,IF(F11&lt;1.8,CONFIG!$B$6,IF(F11&lt;2,CONFIG!$B$7,IF(F11&lt;2.2,CONFIG!$B$8,CONFIG!$B$9))))),"NO APTO",IF(R11&lt;PARAMETROS!$B$14,"NO APTO",IF(S11&gt;=PARAMETROS!$B$10,"ALERTA FUERTE",IF(S11&gt;=PARAMETROS!$B$9,"ALERTA MEDIA","NO APTO"))))))</f>
        <v/>
      </c>
      <c r="U11" s="2">
        <f>IF(T11="","",IF(T11="NO APTO","No cumple uno o más filtros",IF(T11="ALERTA FUERTE","Probabilidad, EV, muestra y score superan filtros","Cumple filtros con confianza media")))</f>
        <v/>
      </c>
    </row>
    <row r="12">
      <c r="A12" s="2">
        <f>IF(C12="","",ROW()-1)</f>
        <v/>
      </c>
      <c r="B12" s="2" t="n"/>
      <c r="C12" s="2" t="n"/>
      <c r="D12" s="2" t="n"/>
      <c r="E12" s="2" t="n"/>
      <c r="F12" s="6" t="n"/>
      <c r="G12" s="2" t="n"/>
      <c r="H12" s="7" t="n"/>
      <c r="I12" s="7" t="n"/>
      <c r="J12" s="7" t="n"/>
      <c r="K12" s="7" t="n"/>
      <c r="L12" s="7" t="n"/>
      <c r="M12" s="7" t="n"/>
      <c r="N12" s="7" t="n"/>
      <c r="O12" s="7">
        <f>IF(C12="","",MAX(0.05,MIN(0.95,0.20*H12+0.15*I12+0.15*J12+0.25*K12+0.10*L12+0.05*M12+0.10*N12)))</f>
        <v/>
      </c>
      <c r="P12" s="7">
        <f>IFERROR(1/F12,"")</f>
        <v/>
      </c>
      <c r="Q12" s="7">
        <f>IF(OR(O12="",P12=""),"",O12-P12)</f>
        <v/>
      </c>
      <c r="R12" s="7">
        <f>IF(OR(O12="",F12=""),"",O12*F12-1)</f>
        <v/>
      </c>
      <c r="S12" s="2">
        <f>IF(C12="","",ROUND(100*(0.20*H12+0.15*I12+0.15*J12+0.25*K12+0.10*L12+0.05*M12+0.10*N12),0))</f>
        <v/>
      </c>
      <c r="T12" s="2">
        <f>IF(C12="","",IF(OR(F12&lt;PARAMETROS!$B$12,F12&gt;PARAMETROS!$B$13,G12&lt;PARAMETROS!$B$11),"NO APTO",IF(O12&lt;IF(F12&lt;1.6,CONFIG!$B$4,IF(F12&lt;1.7,CONFIG!$B$5,IF(F12&lt;1.8,CONFIG!$B$6,IF(F12&lt;2,CONFIG!$B$7,IF(F12&lt;2.2,CONFIG!$B$8,CONFIG!$B$9))))),"NO APTO",IF(R12&lt;PARAMETROS!$B$14,"NO APTO",IF(S12&gt;=PARAMETROS!$B$10,"ALERTA FUERTE",IF(S12&gt;=PARAMETROS!$B$9,"ALERTA MEDIA","NO APTO"))))))</f>
        <v/>
      </c>
      <c r="U12" s="2">
        <f>IF(T12="","",IF(T12="NO APTO","No cumple uno o más filtros",IF(T12="ALERTA FUERTE","Probabilidad, EV, muestra y score superan filtros","Cumple filtros con confianza media")))</f>
        <v/>
      </c>
    </row>
    <row r="13">
      <c r="A13" s="2">
        <f>IF(C13="","",ROW()-1)</f>
        <v/>
      </c>
      <c r="B13" s="2" t="n"/>
      <c r="C13" s="2" t="n"/>
      <c r="D13" s="2" t="n"/>
      <c r="E13" s="2" t="n"/>
      <c r="F13" s="6" t="n"/>
      <c r="G13" s="2" t="n"/>
      <c r="H13" s="7" t="n"/>
      <c r="I13" s="7" t="n"/>
      <c r="J13" s="7" t="n"/>
      <c r="K13" s="7" t="n"/>
      <c r="L13" s="7" t="n"/>
      <c r="M13" s="7" t="n"/>
      <c r="N13" s="7" t="n"/>
      <c r="O13" s="7">
        <f>IF(C13="","",MAX(0.05,MIN(0.95,0.20*H13+0.15*I13+0.15*J13+0.25*K13+0.10*L13+0.05*M13+0.10*N13)))</f>
        <v/>
      </c>
      <c r="P13" s="7">
        <f>IFERROR(1/F13,"")</f>
        <v/>
      </c>
      <c r="Q13" s="7">
        <f>IF(OR(O13="",P13=""),"",O13-P13)</f>
        <v/>
      </c>
      <c r="R13" s="7">
        <f>IF(OR(O13="",F13=""),"",O13*F13-1)</f>
        <v/>
      </c>
      <c r="S13" s="2">
        <f>IF(C13="","",ROUND(100*(0.20*H13+0.15*I13+0.15*J13+0.25*K13+0.10*L13+0.05*M13+0.10*N13),0))</f>
        <v/>
      </c>
      <c r="T13" s="2">
        <f>IF(C13="","",IF(OR(F13&lt;PARAMETROS!$B$12,F13&gt;PARAMETROS!$B$13,G13&lt;PARAMETROS!$B$11),"NO APTO",IF(O13&lt;IF(F13&lt;1.6,CONFIG!$B$4,IF(F13&lt;1.7,CONFIG!$B$5,IF(F13&lt;1.8,CONFIG!$B$6,IF(F13&lt;2,CONFIG!$B$7,IF(F13&lt;2.2,CONFIG!$B$8,CONFIG!$B$9))))),"NO APTO",IF(R13&lt;PARAMETROS!$B$14,"NO APTO",IF(S13&gt;=PARAMETROS!$B$10,"ALERTA FUERTE",IF(S13&gt;=PARAMETROS!$B$9,"ALERTA MEDIA","NO APTO"))))))</f>
        <v/>
      </c>
      <c r="U13" s="2">
        <f>IF(T13="","",IF(T13="NO APTO","No cumple uno o más filtros",IF(T13="ALERTA FUERTE","Probabilidad, EV, muestra y score superan filtros","Cumple filtros con confianza media")))</f>
        <v/>
      </c>
    </row>
    <row r="14">
      <c r="A14" s="2">
        <f>IF(C14="","",ROW()-1)</f>
        <v/>
      </c>
      <c r="B14" s="2" t="n"/>
      <c r="C14" s="2" t="n"/>
      <c r="D14" s="2" t="n"/>
      <c r="E14" s="2" t="n"/>
      <c r="F14" s="6" t="n"/>
      <c r="G14" s="2" t="n"/>
      <c r="H14" s="7" t="n"/>
      <c r="I14" s="7" t="n"/>
      <c r="J14" s="7" t="n"/>
      <c r="K14" s="7" t="n"/>
      <c r="L14" s="7" t="n"/>
      <c r="M14" s="7" t="n"/>
      <c r="N14" s="7" t="n"/>
      <c r="O14" s="7">
        <f>IF(C14="","",MAX(0.05,MIN(0.95,0.20*H14+0.15*I14+0.15*J14+0.25*K14+0.10*L14+0.05*M14+0.10*N14)))</f>
        <v/>
      </c>
      <c r="P14" s="7">
        <f>IFERROR(1/F14,"")</f>
        <v/>
      </c>
      <c r="Q14" s="7">
        <f>IF(OR(O14="",P14=""),"",O14-P14)</f>
        <v/>
      </c>
      <c r="R14" s="7">
        <f>IF(OR(O14="",F14=""),"",O14*F14-1)</f>
        <v/>
      </c>
      <c r="S14" s="2">
        <f>IF(C14="","",ROUND(100*(0.20*H14+0.15*I14+0.15*J14+0.25*K14+0.10*L14+0.05*M14+0.10*N14),0))</f>
        <v/>
      </c>
      <c r="T14" s="2">
        <f>IF(C14="","",IF(OR(F14&lt;PARAMETROS!$B$12,F14&gt;PARAMETROS!$B$13,G14&lt;PARAMETROS!$B$11),"NO APTO",IF(O14&lt;IF(F14&lt;1.6,CONFIG!$B$4,IF(F14&lt;1.7,CONFIG!$B$5,IF(F14&lt;1.8,CONFIG!$B$6,IF(F14&lt;2,CONFIG!$B$7,IF(F14&lt;2.2,CONFIG!$B$8,CONFIG!$B$9))))),"NO APTO",IF(R14&lt;PARAMETROS!$B$14,"NO APTO",IF(S14&gt;=PARAMETROS!$B$10,"ALERTA FUERTE",IF(S14&gt;=PARAMETROS!$B$9,"ALERTA MEDIA","NO APTO"))))))</f>
        <v/>
      </c>
      <c r="U14" s="2">
        <f>IF(T14="","",IF(T14="NO APTO","No cumple uno o más filtros",IF(T14="ALERTA FUERTE","Probabilidad, EV, muestra y score superan filtros","Cumple filtros con confianza media")))</f>
        <v/>
      </c>
    </row>
    <row r="15">
      <c r="A15" s="2">
        <f>IF(C15="","",ROW()-1)</f>
        <v/>
      </c>
      <c r="B15" s="2" t="n"/>
      <c r="C15" s="2" t="n"/>
      <c r="D15" s="2" t="n"/>
      <c r="E15" s="2" t="n"/>
      <c r="F15" s="6" t="n"/>
      <c r="G15" s="2" t="n"/>
      <c r="H15" s="7" t="n"/>
      <c r="I15" s="7" t="n"/>
      <c r="J15" s="7" t="n"/>
      <c r="K15" s="7" t="n"/>
      <c r="L15" s="7" t="n"/>
      <c r="M15" s="7" t="n"/>
      <c r="N15" s="7" t="n"/>
      <c r="O15" s="7">
        <f>IF(C15="","",MAX(0.05,MIN(0.95,0.20*H15+0.15*I15+0.15*J15+0.25*K15+0.10*L15+0.05*M15+0.10*N15)))</f>
        <v/>
      </c>
      <c r="P15" s="7">
        <f>IFERROR(1/F15,"")</f>
        <v/>
      </c>
      <c r="Q15" s="7">
        <f>IF(OR(O15="",P15=""),"",O15-P15)</f>
        <v/>
      </c>
      <c r="R15" s="7">
        <f>IF(OR(O15="",F15=""),"",O15*F15-1)</f>
        <v/>
      </c>
      <c r="S15" s="2">
        <f>IF(C15="","",ROUND(100*(0.20*H15+0.15*I15+0.15*J15+0.25*K15+0.10*L15+0.05*M15+0.10*N15),0))</f>
        <v/>
      </c>
      <c r="T15" s="2">
        <f>IF(C15="","",IF(OR(F15&lt;PARAMETROS!$B$12,F15&gt;PARAMETROS!$B$13,G15&lt;PARAMETROS!$B$11),"NO APTO",IF(O15&lt;IF(F15&lt;1.6,CONFIG!$B$4,IF(F15&lt;1.7,CONFIG!$B$5,IF(F15&lt;1.8,CONFIG!$B$6,IF(F15&lt;2,CONFIG!$B$7,IF(F15&lt;2.2,CONFIG!$B$8,CONFIG!$B$9))))),"NO APTO",IF(R15&lt;PARAMETROS!$B$14,"NO APTO",IF(S15&gt;=PARAMETROS!$B$10,"ALERTA FUERTE",IF(S15&gt;=PARAMETROS!$B$9,"ALERTA MEDIA","NO APTO"))))))</f>
        <v/>
      </c>
      <c r="U15" s="2">
        <f>IF(T15="","",IF(T15="NO APTO","No cumple uno o más filtros",IF(T15="ALERTA FUERTE","Probabilidad, EV, muestra y score superan filtros","Cumple filtros con confianza media")))</f>
        <v/>
      </c>
    </row>
    <row r="16">
      <c r="A16" s="2">
        <f>IF(C16="","",ROW()-1)</f>
        <v/>
      </c>
      <c r="B16" s="2" t="n"/>
      <c r="C16" s="2" t="n"/>
      <c r="D16" s="2" t="n"/>
      <c r="E16" s="2" t="n"/>
      <c r="F16" s="6" t="n"/>
      <c r="G16" s="2" t="n"/>
      <c r="H16" s="7" t="n"/>
      <c r="I16" s="7" t="n"/>
      <c r="J16" s="7" t="n"/>
      <c r="K16" s="7" t="n"/>
      <c r="L16" s="7" t="n"/>
      <c r="M16" s="7" t="n"/>
      <c r="N16" s="7" t="n"/>
      <c r="O16" s="7">
        <f>IF(C16="","",MAX(0.05,MIN(0.95,0.20*H16+0.15*I16+0.15*J16+0.25*K16+0.10*L16+0.05*M16+0.10*N16)))</f>
        <v/>
      </c>
      <c r="P16" s="7">
        <f>IFERROR(1/F16,"")</f>
        <v/>
      </c>
      <c r="Q16" s="7">
        <f>IF(OR(O16="",P16=""),"",O16-P16)</f>
        <v/>
      </c>
      <c r="R16" s="7">
        <f>IF(OR(O16="",F16=""),"",O16*F16-1)</f>
        <v/>
      </c>
      <c r="S16" s="2">
        <f>IF(C16="","",ROUND(100*(0.20*H16+0.15*I16+0.15*J16+0.25*K16+0.10*L16+0.05*M16+0.10*N16),0))</f>
        <v/>
      </c>
      <c r="T16" s="2">
        <f>IF(C16="","",IF(OR(F16&lt;PARAMETROS!$B$12,F16&gt;PARAMETROS!$B$13,G16&lt;PARAMETROS!$B$11),"NO APTO",IF(O16&lt;IF(F16&lt;1.6,CONFIG!$B$4,IF(F16&lt;1.7,CONFIG!$B$5,IF(F16&lt;1.8,CONFIG!$B$6,IF(F16&lt;2,CONFIG!$B$7,IF(F16&lt;2.2,CONFIG!$B$8,CONFIG!$B$9))))),"NO APTO",IF(R16&lt;PARAMETROS!$B$14,"NO APTO",IF(S16&gt;=PARAMETROS!$B$10,"ALERTA FUERTE",IF(S16&gt;=PARAMETROS!$B$9,"ALERTA MEDIA","NO APTO"))))))</f>
        <v/>
      </c>
      <c r="U16" s="2">
        <f>IF(T16="","",IF(T16="NO APTO","No cumple uno o más filtros",IF(T16="ALERTA FUERTE","Probabilidad, EV, muestra y score superan filtros","Cumple filtros con confianza media")))</f>
        <v/>
      </c>
    </row>
    <row r="17">
      <c r="A17" s="2">
        <f>IF(C17="","",ROW()-1)</f>
        <v/>
      </c>
      <c r="B17" s="2" t="n"/>
      <c r="C17" s="2" t="n"/>
      <c r="D17" s="2" t="n"/>
      <c r="E17" s="2" t="n"/>
      <c r="F17" s="6" t="n"/>
      <c r="G17" s="2" t="n"/>
      <c r="H17" s="7" t="n"/>
      <c r="I17" s="7" t="n"/>
      <c r="J17" s="7" t="n"/>
      <c r="K17" s="7" t="n"/>
      <c r="L17" s="7" t="n"/>
      <c r="M17" s="7" t="n"/>
      <c r="N17" s="7" t="n"/>
      <c r="O17" s="7">
        <f>IF(C17="","",MAX(0.05,MIN(0.95,0.20*H17+0.15*I17+0.15*J17+0.25*K17+0.10*L17+0.05*M17+0.10*N17)))</f>
        <v/>
      </c>
      <c r="P17" s="7">
        <f>IFERROR(1/F17,"")</f>
        <v/>
      </c>
      <c r="Q17" s="7">
        <f>IF(OR(O17="",P17=""),"",O17-P17)</f>
        <v/>
      </c>
      <c r="R17" s="7">
        <f>IF(OR(O17="",F17=""),"",O17*F17-1)</f>
        <v/>
      </c>
      <c r="S17" s="2">
        <f>IF(C17="","",ROUND(100*(0.20*H17+0.15*I17+0.15*J17+0.25*K17+0.10*L17+0.05*M17+0.10*N17),0))</f>
        <v/>
      </c>
      <c r="T17" s="2">
        <f>IF(C17="","",IF(OR(F17&lt;PARAMETROS!$B$12,F17&gt;PARAMETROS!$B$13,G17&lt;PARAMETROS!$B$11),"NO APTO",IF(O17&lt;IF(F17&lt;1.6,CONFIG!$B$4,IF(F17&lt;1.7,CONFIG!$B$5,IF(F17&lt;1.8,CONFIG!$B$6,IF(F17&lt;2,CONFIG!$B$7,IF(F17&lt;2.2,CONFIG!$B$8,CONFIG!$B$9))))),"NO APTO",IF(R17&lt;PARAMETROS!$B$14,"NO APTO",IF(S17&gt;=PARAMETROS!$B$10,"ALERTA FUERTE",IF(S17&gt;=PARAMETROS!$B$9,"ALERTA MEDIA","NO APTO"))))))</f>
        <v/>
      </c>
      <c r="U17" s="2">
        <f>IF(T17="","",IF(T17="NO APTO","No cumple uno o más filtros",IF(T17="ALERTA FUERTE","Probabilidad, EV, muestra y score superan filtros","Cumple filtros con confianza media")))</f>
        <v/>
      </c>
    </row>
    <row r="18">
      <c r="A18" s="2">
        <f>IF(C18="","",ROW()-1)</f>
        <v/>
      </c>
      <c r="B18" s="2" t="n"/>
      <c r="C18" s="2" t="n"/>
      <c r="D18" s="2" t="n"/>
      <c r="E18" s="2" t="n"/>
      <c r="F18" s="6" t="n"/>
      <c r="G18" s="2" t="n"/>
      <c r="H18" s="7" t="n"/>
      <c r="I18" s="7" t="n"/>
      <c r="J18" s="7" t="n"/>
      <c r="K18" s="7" t="n"/>
      <c r="L18" s="7" t="n"/>
      <c r="M18" s="7" t="n"/>
      <c r="N18" s="7" t="n"/>
      <c r="O18" s="7">
        <f>IF(C18="","",MAX(0.05,MIN(0.95,0.20*H18+0.15*I18+0.15*J18+0.25*K18+0.10*L18+0.05*M18+0.10*N18)))</f>
        <v/>
      </c>
      <c r="P18" s="7">
        <f>IFERROR(1/F18,"")</f>
        <v/>
      </c>
      <c r="Q18" s="7">
        <f>IF(OR(O18="",P18=""),"",O18-P18)</f>
        <v/>
      </c>
      <c r="R18" s="7">
        <f>IF(OR(O18="",F18=""),"",O18*F18-1)</f>
        <v/>
      </c>
      <c r="S18" s="2">
        <f>IF(C18="","",ROUND(100*(0.20*H18+0.15*I18+0.15*J18+0.25*K18+0.10*L18+0.05*M18+0.10*N18),0))</f>
        <v/>
      </c>
      <c r="T18" s="2">
        <f>IF(C18="","",IF(OR(F18&lt;PARAMETROS!$B$12,F18&gt;PARAMETROS!$B$13,G18&lt;PARAMETROS!$B$11),"NO APTO",IF(O18&lt;IF(F18&lt;1.6,CONFIG!$B$4,IF(F18&lt;1.7,CONFIG!$B$5,IF(F18&lt;1.8,CONFIG!$B$6,IF(F18&lt;2,CONFIG!$B$7,IF(F18&lt;2.2,CONFIG!$B$8,CONFIG!$B$9))))),"NO APTO",IF(R18&lt;PARAMETROS!$B$14,"NO APTO",IF(S18&gt;=PARAMETROS!$B$10,"ALERTA FUERTE",IF(S18&gt;=PARAMETROS!$B$9,"ALERTA MEDIA","NO APTO"))))))</f>
        <v/>
      </c>
      <c r="U18" s="2">
        <f>IF(T18="","",IF(T18="NO APTO","No cumple uno o más filtros",IF(T18="ALERTA FUERTE","Probabilidad, EV, muestra y score superan filtros","Cumple filtros con confianza media")))</f>
        <v/>
      </c>
    </row>
    <row r="19">
      <c r="A19" s="2">
        <f>IF(C19="","",ROW()-1)</f>
        <v/>
      </c>
      <c r="B19" s="2" t="n"/>
      <c r="C19" s="2" t="n"/>
      <c r="D19" s="2" t="n"/>
      <c r="E19" s="2" t="n"/>
      <c r="F19" s="6" t="n"/>
      <c r="G19" s="2" t="n"/>
      <c r="H19" s="7" t="n"/>
      <c r="I19" s="7" t="n"/>
      <c r="J19" s="7" t="n"/>
      <c r="K19" s="7" t="n"/>
      <c r="L19" s="7" t="n"/>
      <c r="M19" s="7" t="n"/>
      <c r="N19" s="7" t="n"/>
      <c r="O19" s="7">
        <f>IF(C19="","",MAX(0.05,MIN(0.95,0.20*H19+0.15*I19+0.15*J19+0.25*K19+0.10*L19+0.05*M19+0.10*N19)))</f>
        <v/>
      </c>
      <c r="P19" s="7">
        <f>IFERROR(1/F19,"")</f>
        <v/>
      </c>
      <c r="Q19" s="7">
        <f>IF(OR(O19="",P19=""),"",O19-P19)</f>
        <v/>
      </c>
      <c r="R19" s="7">
        <f>IF(OR(O19="",F19=""),"",O19*F19-1)</f>
        <v/>
      </c>
      <c r="S19" s="2">
        <f>IF(C19="","",ROUND(100*(0.20*H19+0.15*I19+0.15*J19+0.25*K19+0.10*L19+0.05*M19+0.10*N19),0))</f>
        <v/>
      </c>
      <c r="T19" s="2">
        <f>IF(C19="","",IF(OR(F19&lt;PARAMETROS!$B$12,F19&gt;PARAMETROS!$B$13,G19&lt;PARAMETROS!$B$11),"NO APTO",IF(O19&lt;IF(F19&lt;1.6,CONFIG!$B$4,IF(F19&lt;1.7,CONFIG!$B$5,IF(F19&lt;1.8,CONFIG!$B$6,IF(F19&lt;2,CONFIG!$B$7,IF(F19&lt;2.2,CONFIG!$B$8,CONFIG!$B$9))))),"NO APTO",IF(R19&lt;PARAMETROS!$B$14,"NO APTO",IF(S19&gt;=PARAMETROS!$B$10,"ALERTA FUERTE",IF(S19&gt;=PARAMETROS!$B$9,"ALERTA MEDIA","NO APTO"))))))</f>
        <v/>
      </c>
      <c r="U19" s="2">
        <f>IF(T19="","",IF(T19="NO APTO","No cumple uno o más filtros",IF(T19="ALERTA FUERTE","Probabilidad, EV, muestra y score superan filtros","Cumple filtros con confianza media")))</f>
        <v/>
      </c>
    </row>
    <row r="20">
      <c r="A20" s="2">
        <f>IF(C20="","",ROW()-1)</f>
        <v/>
      </c>
      <c r="B20" s="2" t="n"/>
      <c r="C20" s="2" t="n"/>
      <c r="D20" s="2" t="n"/>
      <c r="E20" s="2" t="n"/>
      <c r="F20" s="6" t="n"/>
      <c r="G20" s="2" t="n"/>
      <c r="H20" s="7" t="n"/>
      <c r="I20" s="7" t="n"/>
      <c r="J20" s="7" t="n"/>
      <c r="K20" s="7" t="n"/>
      <c r="L20" s="7" t="n"/>
      <c r="M20" s="7" t="n"/>
      <c r="N20" s="7" t="n"/>
      <c r="O20" s="7">
        <f>IF(C20="","",MAX(0.05,MIN(0.95,0.20*H20+0.15*I20+0.15*J20+0.25*K20+0.10*L20+0.05*M20+0.10*N20)))</f>
        <v/>
      </c>
      <c r="P20" s="7">
        <f>IFERROR(1/F20,"")</f>
        <v/>
      </c>
      <c r="Q20" s="7">
        <f>IF(OR(O20="",P20=""),"",O20-P20)</f>
        <v/>
      </c>
      <c r="R20" s="7">
        <f>IF(OR(O20="",F20=""),"",O20*F20-1)</f>
        <v/>
      </c>
      <c r="S20" s="2">
        <f>IF(C20="","",ROUND(100*(0.20*H20+0.15*I20+0.15*J20+0.25*K20+0.10*L20+0.05*M20+0.10*N20),0))</f>
        <v/>
      </c>
      <c r="T20" s="2">
        <f>IF(C20="","",IF(OR(F20&lt;PARAMETROS!$B$12,F20&gt;PARAMETROS!$B$13,G20&lt;PARAMETROS!$B$11),"NO APTO",IF(O20&lt;IF(F20&lt;1.6,CONFIG!$B$4,IF(F20&lt;1.7,CONFIG!$B$5,IF(F20&lt;1.8,CONFIG!$B$6,IF(F20&lt;2,CONFIG!$B$7,IF(F20&lt;2.2,CONFIG!$B$8,CONFIG!$B$9))))),"NO APTO",IF(R20&lt;PARAMETROS!$B$14,"NO APTO",IF(S20&gt;=PARAMETROS!$B$10,"ALERTA FUERTE",IF(S20&gt;=PARAMETROS!$B$9,"ALERTA MEDIA","NO APTO"))))))</f>
        <v/>
      </c>
      <c r="U20" s="2">
        <f>IF(T20="","",IF(T20="NO APTO","No cumple uno o más filtros",IF(T20="ALERTA FUERTE","Probabilidad, EV, muestra y score superan filtros","Cumple filtros con confianza media")))</f>
        <v/>
      </c>
    </row>
    <row r="21">
      <c r="A21" s="2">
        <f>IF(C21="","",ROW()-1)</f>
        <v/>
      </c>
      <c r="B21" s="2" t="n"/>
      <c r="C21" s="2" t="n"/>
      <c r="D21" s="2" t="n"/>
      <c r="E21" s="2" t="n"/>
      <c r="F21" s="6" t="n"/>
      <c r="G21" s="2" t="n"/>
      <c r="H21" s="7" t="n"/>
      <c r="I21" s="7" t="n"/>
      <c r="J21" s="7" t="n"/>
      <c r="K21" s="7" t="n"/>
      <c r="L21" s="7" t="n"/>
      <c r="M21" s="7" t="n"/>
      <c r="N21" s="7" t="n"/>
      <c r="O21" s="7">
        <f>IF(C21="","",MAX(0.05,MIN(0.95,0.20*H21+0.15*I21+0.15*J21+0.25*K21+0.10*L21+0.05*M21+0.10*N21)))</f>
        <v/>
      </c>
      <c r="P21" s="7">
        <f>IFERROR(1/F21,"")</f>
        <v/>
      </c>
      <c r="Q21" s="7">
        <f>IF(OR(O21="",P21=""),"",O21-P21)</f>
        <v/>
      </c>
      <c r="R21" s="7">
        <f>IF(OR(O21="",F21=""),"",O21*F21-1)</f>
        <v/>
      </c>
      <c r="S21" s="2">
        <f>IF(C21="","",ROUND(100*(0.20*H21+0.15*I21+0.15*J21+0.25*K21+0.10*L21+0.05*M21+0.10*N21),0))</f>
        <v/>
      </c>
      <c r="T21" s="2">
        <f>IF(C21="","",IF(OR(F21&lt;PARAMETROS!$B$12,F21&gt;PARAMETROS!$B$13,G21&lt;PARAMETROS!$B$11),"NO APTO",IF(O21&lt;IF(F21&lt;1.6,CONFIG!$B$4,IF(F21&lt;1.7,CONFIG!$B$5,IF(F21&lt;1.8,CONFIG!$B$6,IF(F21&lt;2,CONFIG!$B$7,IF(F21&lt;2.2,CONFIG!$B$8,CONFIG!$B$9))))),"NO APTO",IF(R21&lt;PARAMETROS!$B$14,"NO APTO",IF(S21&gt;=PARAMETROS!$B$10,"ALERTA FUERTE",IF(S21&gt;=PARAMETROS!$B$9,"ALERTA MEDIA","NO APTO"))))))</f>
        <v/>
      </c>
      <c r="U21" s="2">
        <f>IF(T21="","",IF(T21="NO APTO","No cumple uno o más filtros",IF(T21="ALERTA FUERTE","Probabilidad, EV, muestra y score superan filtros","Cumple filtros con confianza media")))</f>
        <v/>
      </c>
    </row>
    <row r="22">
      <c r="A22" s="2">
        <f>IF(C22="","",ROW()-1)</f>
        <v/>
      </c>
      <c r="B22" s="2" t="n"/>
      <c r="C22" s="2" t="n"/>
      <c r="D22" s="2" t="n"/>
      <c r="E22" s="2" t="n"/>
      <c r="F22" s="6" t="n"/>
      <c r="G22" s="2" t="n"/>
      <c r="H22" s="7" t="n"/>
      <c r="I22" s="7" t="n"/>
      <c r="J22" s="7" t="n"/>
      <c r="K22" s="7" t="n"/>
      <c r="L22" s="7" t="n"/>
      <c r="M22" s="7" t="n"/>
      <c r="N22" s="7" t="n"/>
      <c r="O22" s="7">
        <f>IF(C22="","",MAX(0.05,MIN(0.95,0.20*H22+0.15*I22+0.15*J22+0.25*K22+0.10*L22+0.05*M22+0.10*N22)))</f>
        <v/>
      </c>
      <c r="P22" s="7">
        <f>IFERROR(1/F22,"")</f>
        <v/>
      </c>
      <c r="Q22" s="7">
        <f>IF(OR(O22="",P22=""),"",O22-P22)</f>
        <v/>
      </c>
      <c r="R22" s="7">
        <f>IF(OR(O22="",F22=""),"",O22*F22-1)</f>
        <v/>
      </c>
      <c r="S22" s="2">
        <f>IF(C22="","",ROUND(100*(0.20*H22+0.15*I22+0.15*J22+0.25*K22+0.10*L22+0.05*M22+0.10*N22),0))</f>
        <v/>
      </c>
      <c r="T22" s="2">
        <f>IF(C22="","",IF(OR(F22&lt;PARAMETROS!$B$12,F22&gt;PARAMETROS!$B$13,G22&lt;PARAMETROS!$B$11),"NO APTO",IF(O22&lt;IF(F22&lt;1.6,CONFIG!$B$4,IF(F22&lt;1.7,CONFIG!$B$5,IF(F22&lt;1.8,CONFIG!$B$6,IF(F22&lt;2,CONFIG!$B$7,IF(F22&lt;2.2,CONFIG!$B$8,CONFIG!$B$9))))),"NO APTO",IF(R22&lt;PARAMETROS!$B$14,"NO APTO",IF(S22&gt;=PARAMETROS!$B$10,"ALERTA FUERTE",IF(S22&gt;=PARAMETROS!$B$9,"ALERTA MEDIA","NO APTO"))))))</f>
        <v/>
      </c>
      <c r="U22" s="2">
        <f>IF(T22="","",IF(T22="NO APTO","No cumple uno o más filtros",IF(T22="ALERTA FUERTE","Probabilidad, EV, muestra y score superan filtros","Cumple filtros con confianza media")))</f>
        <v/>
      </c>
    </row>
    <row r="23">
      <c r="A23" s="2">
        <f>IF(C23="","",ROW()-1)</f>
        <v/>
      </c>
      <c r="B23" s="2" t="n"/>
      <c r="C23" s="2" t="n"/>
      <c r="D23" s="2" t="n"/>
      <c r="E23" s="2" t="n"/>
      <c r="F23" s="6" t="n"/>
      <c r="G23" s="2" t="n"/>
      <c r="H23" s="7" t="n"/>
      <c r="I23" s="7" t="n"/>
      <c r="J23" s="7" t="n"/>
      <c r="K23" s="7" t="n"/>
      <c r="L23" s="7" t="n"/>
      <c r="M23" s="7" t="n"/>
      <c r="N23" s="7" t="n"/>
      <c r="O23" s="7">
        <f>IF(C23="","",MAX(0.05,MIN(0.95,0.20*H23+0.15*I23+0.15*J23+0.25*K23+0.10*L23+0.05*M23+0.10*N23)))</f>
        <v/>
      </c>
      <c r="P23" s="7">
        <f>IFERROR(1/F23,"")</f>
        <v/>
      </c>
      <c r="Q23" s="7">
        <f>IF(OR(O23="",P23=""),"",O23-P23)</f>
        <v/>
      </c>
      <c r="R23" s="7">
        <f>IF(OR(O23="",F23=""),"",O23*F23-1)</f>
        <v/>
      </c>
      <c r="S23" s="2">
        <f>IF(C23="","",ROUND(100*(0.20*H23+0.15*I23+0.15*J23+0.25*K23+0.10*L23+0.05*M23+0.10*N23),0))</f>
        <v/>
      </c>
      <c r="T23" s="2">
        <f>IF(C23="","",IF(OR(F23&lt;PARAMETROS!$B$12,F23&gt;PARAMETROS!$B$13,G23&lt;PARAMETROS!$B$11),"NO APTO",IF(O23&lt;IF(F23&lt;1.6,CONFIG!$B$4,IF(F23&lt;1.7,CONFIG!$B$5,IF(F23&lt;1.8,CONFIG!$B$6,IF(F23&lt;2,CONFIG!$B$7,IF(F23&lt;2.2,CONFIG!$B$8,CONFIG!$B$9))))),"NO APTO",IF(R23&lt;PARAMETROS!$B$14,"NO APTO",IF(S23&gt;=PARAMETROS!$B$10,"ALERTA FUERTE",IF(S23&gt;=PARAMETROS!$B$9,"ALERTA MEDIA","NO APTO"))))))</f>
        <v/>
      </c>
      <c r="U23" s="2">
        <f>IF(T23="","",IF(T23="NO APTO","No cumple uno o más filtros",IF(T23="ALERTA FUERTE","Probabilidad, EV, muestra y score superan filtros","Cumple filtros con confianza media")))</f>
        <v/>
      </c>
    </row>
    <row r="24">
      <c r="A24" s="2">
        <f>IF(C24="","",ROW()-1)</f>
        <v/>
      </c>
      <c r="B24" s="2" t="n"/>
      <c r="C24" s="2" t="n"/>
      <c r="D24" s="2" t="n"/>
      <c r="E24" s="2" t="n"/>
      <c r="F24" s="6" t="n"/>
      <c r="G24" s="2" t="n"/>
      <c r="H24" s="7" t="n"/>
      <c r="I24" s="7" t="n"/>
      <c r="J24" s="7" t="n"/>
      <c r="K24" s="7" t="n"/>
      <c r="L24" s="7" t="n"/>
      <c r="M24" s="7" t="n"/>
      <c r="N24" s="7" t="n"/>
      <c r="O24" s="7">
        <f>IF(C24="","",MAX(0.05,MIN(0.95,0.20*H24+0.15*I24+0.15*J24+0.25*K24+0.10*L24+0.05*M24+0.10*N24)))</f>
        <v/>
      </c>
      <c r="P24" s="7">
        <f>IFERROR(1/F24,"")</f>
        <v/>
      </c>
      <c r="Q24" s="7">
        <f>IF(OR(O24="",P24=""),"",O24-P24)</f>
        <v/>
      </c>
      <c r="R24" s="7">
        <f>IF(OR(O24="",F24=""),"",O24*F24-1)</f>
        <v/>
      </c>
      <c r="S24" s="2">
        <f>IF(C24="","",ROUND(100*(0.20*H24+0.15*I24+0.15*J24+0.25*K24+0.10*L24+0.05*M24+0.10*N24),0))</f>
        <v/>
      </c>
      <c r="T24" s="2">
        <f>IF(C24="","",IF(OR(F24&lt;PARAMETROS!$B$12,F24&gt;PARAMETROS!$B$13,G24&lt;PARAMETROS!$B$11),"NO APTO",IF(O24&lt;IF(F24&lt;1.6,CONFIG!$B$4,IF(F24&lt;1.7,CONFIG!$B$5,IF(F24&lt;1.8,CONFIG!$B$6,IF(F24&lt;2,CONFIG!$B$7,IF(F24&lt;2.2,CONFIG!$B$8,CONFIG!$B$9))))),"NO APTO",IF(R24&lt;PARAMETROS!$B$14,"NO APTO",IF(S24&gt;=PARAMETROS!$B$10,"ALERTA FUERTE",IF(S24&gt;=PARAMETROS!$B$9,"ALERTA MEDIA","NO APTO"))))))</f>
        <v/>
      </c>
      <c r="U24" s="2">
        <f>IF(T24="","",IF(T24="NO APTO","No cumple uno o más filtros",IF(T24="ALERTA FUERTE","Probabilidad, EV, muestra y score superan filtros","Cumple filtros con confianza media")))</f>
        <v/>
      </c>
    </row>
    <row r="25">
      <c r="A25" s="2">
        <f>IF(C25="","",ROW()-1)</f>
        <v/>
      </c>
      <c r="B25" s="2" t="n"/>
      <c r="C25" s="2" t="n"/>
      <c r="D25" s="2" t="n"/>
      <c r="E25" s="2" t="n"/>
      <c r="F25" s="6" t="n"/>
      <c r="G25" s="2" t="n"/>
      <c r="H25" s="7" t="n"/>
      <c r="I25" s="7" t="n"/>
      <c r="J25" s="7" t="n"/>
      <c r="K25" s="7" t="n"/>
      <c r="L25" s="7" t="n"/>
      <c r="M25" s="7" t="n"/>
      <c r="N25" s="7" t="n"/>
      <c r="O25" s="7">
        <f>IF(C25="","",MAX(0.05,MIN(0.95,0.20*H25+0.15*I25+0.15*J25+0.25*K25+0.10*L25+0.05*M25+0.10*N25)))</f>
        <v/>
      </c>
      <c r="P25" s="7">
        <f>IFERROR(1/F25,"")</f>
        <v/>
      </c>
      <c r="Q25" s="7">
        <f>IF(OR(O25="",P25=""),"",O25-P25)</f>
        <v/>
      </c>
      <c r="R25" s="7">
        <f>IF(OR(O25="",F25=""),"",O25*F25-1)</f>
        <v/>
      </c>
      <c r="S25" s="2">
        <f>IF(C25="","",ROUND(100*(0.20*H25+0.15*I25+0.15*J25+0.25*K25+0.10*L25+0.05*M25+0.10*N25),0))</f>
        <v/>
      </c>
      <c r="T25" s="2">
        <f>IF(C25="","",IF(OR(F25&lt;PARAMETROS!$B$12,F25&gt;PARAMETROS!$B$13,G25&lt;PARAMETROS!$B$11),"NO APTO",IF(O25&lt;IF(F25&lt;1.6,CONFIG!$B$4,IF(F25&lt;1.7,CONFIG!$B$5,IF(F25&lt;1.8,CONFIG!$B$6,IF(F25&lt;2,CONFIG!$B$7,IF(F25&lt;2.2,CONFIG!$B$8,CONFIG!$B$9))))),"NO APTO",IF(R25&lt;PARAMETROS!$B$14,"NO APTO",IF(S25&gt;=PARAMETROS!$B$10,"ALERTA FUERTE",IF(S25&gt;=PARAMETROS!$B$9,"ALERTA MEDIA","NO APTO"))))))</f>
        <v/>
      </c>
      <c r="U25" s="2">
        <f>IF(T25="","",IF(T25="NO APTO","No cumple uno o más filtros",IF(T25="ALERTA FUERTE","Probabilidad, EV, muestra y score superan filtros","Cumple filtros con confianza media")))</f>
        <v/>
      </c>
    </row>
    <row r="26">
      <c r="A26" s="2">
        <f>IF(C26="","",ROW()-1)</f>
        <v/>
      </c>
      <c r="B26" s="2" t="n"/>
      <c r="C26" s="2" t="n"/>
      <c r="D26" s="2" t="n"/>
      <c r="E26" s="2" t="n"/>
      <c r="F26" s="6" t="n"/>
      <c r="G26" s="2" t="n"/>
      <c r="H26" s="7" t="n"/>
      <c r="I26" s="7" t="n"/>
      <c r="J26" s="7" t="n"/>
      <c r="K26" s="7" t="n"/>
      <c r="L26" s="7" t="n"/>
      <c r="M26" s="7" t="n"/>
      <c r="N26" s="7" t="n"/>
      <c r="O26" s="7">
        <f>IF(C26="","",MAX(0.05,MIN(0.95,0.20*H26+0.15*I26+0.15*J26+0.25*K26+0.10*L26+0.05*M26+0.10*N26)))</f>
        <v/>
      </c>
      <c r="P26" s="7">
        <f>IFERROR(1/F26,"")</f>
        <v/>
      </c>
      <c r="Q26" s="7">
        <f>IF(OR(O26="",P26=""),"",O26-P26)</f>
        <v/>
      </c>
      <c r="R26" s="7">
        <f>IF(OR(O26="",F26=""),"",O26*F26-1)</f>
        <v/>
      </c>
      <c r="S26" s="2">
        <f>IF(C26="","",ROUND(100*(0.20*H26+0.15*I26+0.15*J26+0.25*K26+0.10*L26+0.05*M26+0.10*N26),0))</f>
        <v/>
      </c>
      <c r="T26" s="2">
        <f>IF(C26="","",IF(OR(F26&lt;PARAMETROS!$B$12,F26&gt;PARAMETROS!$B$13,G26&lt;PARAMETROS!$B$11),"NO APTO",IF(O26&lt;IF(F26&lt;1.6,CONFIG!$B$4,IF(F26&lt;1.7,CONFIG!$B$5,IF(F26&lt;1.8,CONFIG!$B$6,IF(F26&lt;2,CONFIG!$B$7,IF(F26&lt;2.2,CONFIG!$B$8,CONFIG!$B$9))))),"NO APTO",IF(R26&lt;PARAMETROS!$B$14,"NO APTO",IF(S26&gt;=PARAMETROS!$B$10,"ALERTA FUERTE",IF(S26&gt;=PARAMETROS!$B$9,"ALERTA MEDIA","NO APTO"))))))</f>
        <v/>
      </c>
      <c r="U26" s="2">
        <f>IF(T26="","",IF(T26="NO APTO","No cumple uno o más filtros",IF(T26="ALERTA FUERTE","Probabilidad, EV, muestra y score superan filtros","Cumple filtros con confianza media")))</f>
        <v/>
      </c>
    </row>
    <row r="27">
      <c r="A27" s="2">
        <f>IF(C27="","",ROW()-1)</f>
        <v/>
      </c>
      <c r="B27" s="2" t="n"/>
      <c r="C27" s="2" t="n"/>
      <c r="D27" s="2" t="n"/>
      <c r="E27" s="2" t="n"/>
      <c r="F27" s="6" t="n"/>
      <c r="G27" s="2" t="n"/>
      <c r="H27" s="7" t="n"/>
      <c r="I27" s="7" t="n"/>
      <c r="J27" s="7" t="n"/>
      <c r="K27" s="7" t="n"/>
      <c r="L27" s="7" t="n"/>
      <c r="M27" s="7" t="n"/>
      <c r="N27" s="7" t="n"/>
      <c r="O27" s="7">
        <f>IF(C27="","",MAX(0.05,MIN(0.95,0.20*H27+0.15*I27+0.15*J27+0.25*K27+0.10*L27+0.05*M27+0.10*N27)))</f>
        <v/>
      </c>
      <c r="P27" s="7">
        <f>IFERROR(1/F27,"")</f>
        <v/>
      </c>
      <c r="Q27" s="7">
        <f>IF(OR(O27="",P27=""),"",O27-P27)</f>
        <v/>
      </c>
      <c r="R27" s="7">
        <f>IF(OR(O27="",F27=""),"",O27*F27-1)</f>
        <v/>
      </c>
      <c r="S27" s="2">
        <f>IF(C27="","",ROUND(100*(0.20*H27+0.15*I27+0.15*J27+0.25*K27+0.10*L27+0.05*M27+0.10*N27),0))</f>
        <v/>
      </c>
      <c r="T27" s="2">
        <f>IF(C27="","",IF(OR(F27&lt;PARAMETROS!$B$12,F27&gt;PARAMETROS!$B$13,G27&lt;PARAMETROS!$B$11),"NO APTO",IF(O27&lt;IF(F27&lt;1.6,CONFIG!$B$4,IF(F27&lt;1.7,CONFIG!$B$5,IF(F27&lt;1.8,CONFIG!$B$6,IF(F27&lt;2,CONFIG!$B$7,IF(F27&lt;2.2,CONFIG!$B$8,CONFIG!$B$9))))),"NO APTO",IF(R27&lt;PARAMETROS!$B$14,"NO APTO",IF(S27&gt;=PARAMETROS!$B$10,"ALERTA FUERTE",IF(S27&gt;=PARAMETROS!$B$9,"ALERTA MEDIA","NO APTO"))))))</f>
        <v/>
      </c>
      <c r="U27" s="2">
        <f>IF(T27="","",IF(T27="NO APTO","No cumple uno o más filtros",IF(T27="ALERTA FUERTE","Probabilidad, EV, muestra y score superan filtros","Cumple filtros con confianza media")))</f>
        <v/>
      </c>
    </row>
    <row r="28">
      <c r="A28" s="2">
        <f>IF(C28="","",ROW()-1)</f>
        <v/>
      </c>
      <c r="B28" s="2" t="n"/>
      <c r="C28" s="2" t="n"/>
      <c r="D28" s="2" t="n"/>
      <c r="E28" s="2" t="n"/>
      <c r="F28" s="6" t="n"/>
      <c r="G28" s="2" t="n"/>
      <c r="H28" s="7" t="n"/>
      <c r="I28" s="7" t="n"/>
      <c r="J28" s="7" t="n"/>
      <c r="K28" s="7" t="n"/>
      <c r="L28" s="7" t="n"/>
      <c r="M28" s="7" t="n"/>
      <c r="N28" s="7" t="n"/>
      <c r="O28" s="7">
        <f>IF(C28="","",MAX(0.05,MIN(0.95,0.20*H28+0.15*I28+0.15*J28+0.25*K28+0.10*L28+0.05*M28+0.10*N28)))</f>
        <v/>
      </c>
      <c r="P28" s="7">
        <f>IFERROR(1/F28,"")</f>
        <v/>
      </c>
      <c r="Q28" s="7">
        <f>IF(OR(O28="",P28=""),"",O28-P28)</f>
        <v/>
      </c>
      <c r="R28" s="7">
        <f>IF(OR(O28="",F28=""),"",O28*F28-1)</f>
        <v/>
      </c>
      <c r="S28" s="2">
        <f>IF(C28="","",ROUND(100*(0.20*H28+0.15*I28+0.15*J28+0.25*K28+0.10*L28+0.05*M28+0.10*N28),0))</f>
        <v/>
      </c>
      <c r="T28" s="2">
        <f>IF(C28="","",IF(OR(F28&lt;PARAMETROS!$B$12,F28&gt;PARAMETROS!$B$13,G28&lt;PARAMETROS!$B$11),"NO APTO",IF(O28&lt;IF(F28&lt;1.6,CONFIG!$B$4,IF(F28&lt;1.7,CONFIG!$B$5,IF(F28&lt;1.8,CONFIG!$B$6,IF(F28&lt;2,CONFIG!$B$7,IF(F28&lt;2.2,CONFIG!$B$8,CONFIG!$B$9))))),"NO APTO",IF(R28&lt;PARAMETROS!$B$14,"NO APTO",IF(S28&gt;=PARAMETROS!$B$10,"ALERTA FUERTE",IF(S28&gt;=PARAMETROS!$B$9,"ALERTA MEDIA","NO APTO"))))))</f>
        <v/>
      </c>
      <c r="U28" s="2">
        <f>IF(T28="","",IF(T28="NO APTO","No cumple uno o más filtros",IF(T28="ALERTA FUERTE","Probabilidad, EV, muestra y score superan filtros","Cumple filtros con confianza media")))</f>
        <v/>
      </c>
    </row>
    <row r="29">
      <c r="A29" s="2">
        <f>IF(C29="","",ROW()-1)</f>
        <v/>
      </c>
      <c r="B29" s="2" t="n"/>
      <c r="C29" s="2" t="n"/>
      <c r="D29" s="2" t="n"/>
      <c r="E29" s="2" t="n"/>
      <c r="F29" s="6" t="n"/>
      <c r="G29" s="2" t="n"/>
      <c r="H29" s="7" t="n"/>
      <c r="I29" s="7" t="n"/>
      <c r="J29" s="7" t="n"/>
      <c r="K29" s="7" t="n"/>
      <c r="L29" s="7" t="n"/>
      <c r="M29" s="7" t="n"/>
      <c r="N29" s="7" t="n"/>
      <c r="O29" s="7">
        <f>IF(C29="","",MAX(0.05,MIN(0.95,0.20*H29+0.15*I29+0.15*J29+0.25*K29+0.10*L29+0.05*M29+0.10*N29)))</f>
        <v/>
      </c>
      <c r="P29" s="7">
        <f>IFERROR(1/F29,"")</f>
        <v/>
      </c>
      <c r="Q29" s="7">
        <f>IF(OR(O29="",P29=""),"",O29-P29)</f>
        <v/>
      </c>
      <c r="R29" s="7">
        <f>IF(OR(O29="",F29=""),"",O29*F29-1)</f>
        <v/>
      </c>
      <c r="S29" s="2">
        <f>IF(C29="","",ROUND(100*(0.20*H29+0.15*I29+0.15*J29+0.25*K29+0.10*L29+0.05*M29+0.10*N29),0))</f>
        <v/>
      </c>
      <c r="T29" s="2">
        <f>IF(C29="","",IF(OR(F29&lt;PARAMETROS!$B$12,F29&gt;PARAMETROS!$B$13,G29&lt;PARAMETROS!$B$11),"NO APTO",IF(O29&lt;IF(F29&lt;1.6,CONFIG!$B$4,IF(F29&lt;1.7,CONFIG!$B$5,IF(F29&lt;1.8,CONFIG!$B$6,IF(F29&lt;2,CONFIG!$B$7,IF(F29&lt;2.2,CONFIG!$B$8,CONFIG!$B$9))))),"NO APTO",IF(R29&lt;PARAMETROS!$B$14,"NO APTO",IF(S29&gt;=PARAMETROS!$B$10,"ALERTA FUERTE",IF(S29&gt;=PARAMETROS!$B$9,"ALERTA MEDIA","NO APTO"))))))</f>
        <v/>
      </c>
      <c r="U29" s="2">
        <f>IF(T29="","",IF(T29="NO APTO","No cumple uno o más filtros",IF(T29="ALERTA FUERTE","Probabilidad, EV, muestra y score superan filtros","Cumple filtros con confianza media")))</f>
        <v/>
      </c>
    </row>
    <row r="30">
      <c r="A30" s="2">
        <f>IF(C30="","",ROW()-1)</f>
        <v/>
      </c>
      <c r="B30" s="2" t="n"/>
      <c r="C30" s="2" t="n"/>
      <c r="D30" s="2" t="n"/>
      <c r="E30" s="2" t="n"/>
      <c r="F30" s="6" t="n"/>
      <c r="G30" s="2" t="n"/>
      <c r="H30" s="7" t="n"/>
      <c r="I30" s="7" t="n"/>
      <c r="J30" s="7" t="n"/>
      <c r="K30" s="7" t="n"/>
      <c r="L30" s="7" t="n"/>
      <c r="M30" s="7" t="n"/>
      <c r="N30" s="7" t="n"/>
      <c r="O30" s="7">
        <f>IF(C30="","",MAX(0.05,MIN(0.95,0.20*H30+0.15*I30+0.15*J30+0.25*K30+0.10*L30+0.05*M30+0.10*N30)))</f>
        <v/>
      </c>
      <c r="P30" s="7">
        <f>IFERROR(1/F30,"")</f>
        <v/>
      </c>
      <c r="Q30" s="7">
        <f>IF(OR(O30="",P30=""),"",O30-P30)</f>
        <v/>
      </c>
      <c r="R30" s="7">
        <f>IF(OR(O30="",F30=""),"",O30*F30-1)</f>
        <v/>
      </c>
      <c r="S30" s="2">
        <f>IF(C30="","",ROUND(100*(0.20*H30+0.15*I30+0.15*J30+0.25*K30+0.10*L30+0.05*M30+0.10*N30),0))</f>
        <v/>
      </c>
      <c r="T30" s="2">
        <f>IF(C30="","",IF(OR(F30&lt;PARAMETROS!$B$12,F30&gt;PARAMETROS!$B$13,G30&lt;PARAMETROS!$B$11),"NO APTO",IF(O30&lt;IF(F30&lt;1.6,CONFIG!$B$4,IF(F30&lt;1.7,CONFIG!$B$5,IF(F30&lt;1.8,CONFIG!$B$6,IF(F30&lt;2,CONFIG!$B$7,IF(F30&lt;2.2,CONFIG!$B$8,CONFIG!$B$9))))),"NO APTO",IF(R30&lt;PARAMETROS!$B$14,"NO APTO",IF(S30&gt;=PARAMETROS!$B$10,"ALERTA FUERTE",IF(S30&gt;=PARAMETROS!$B$9,"ALERTA MEDIA","NO APTO"))))))</f>
        <v/>
      </c>
      <c r="U30" s="2">
        <f>IF(T30="","",IF(T30="NO APTO","No cumple uno o más filtros",IF(T30="ALERTA FUERTE","Probabilidad, EV, muestra y score superan filtros","Cumple filtros con confianza media")))</f>
        <v/>
      </c>
    </row>
    <row r="31">
      <c r="A31" s="2">
        <f>IF(C31="","",ROW()-1)</f>
        <v/>
      </c>
      <c r="B31" s="2" t="n"/>
      <c r="C31" s="2" t="n"/>
      <c r="D31" s="2" t="n"/>
      <c r="E31" s="2" t="n"/>
      <c r="F31" s="6" t="n"/>
      <c r="G31" s="2" t="n"/>
      <c r="H31" s="7" t="n"/>
      <c r="I31" s="7" t="n"/>
      <c r="J31" s="7" t="n"/>
      <c r="K31" s="7" t="n"/>
      <c r="L31" s="7" t="n"/>
      <c r="M31" s="7" t="n"/>
      <c r="N31" s="7" t="n"/>
      <c r="O31" s="7">
        <f>IF(C31="","",MAX(0.05,MIN(0.95,0.20*H31+0.15*I31+0.15*J31+0.25*K31+0.10*L31+0.05*M31+0.10*N31)))</f>
        <v/>
      </c>
      <c r="P31" s="7">
        <f>IFERROR(1/F31,"")</f>
        <v/>
      </c>
      <c r="Q31" s="7">
        <f>IF(OR(O31="",P31=""),"",O31-P31)</f>
        <v/>
      </c>
      <c r="R31" s="7">
        <f>IF(OR(O31="",F31=""),"",O31*F31-1)</f>
        <v/>
      </c>
      <c r="S31" s="2">
        <f>IF(C31="","",ROUND(100*(0.20*H31+0.15*I31+0.15*J31+0.25*K31+0.10*L31+0.05*M31+0.10*N31),0))</f>
        <v/>
      </c>
      <c r="T31" s="2">
        <f>IF(C31="","",IF(OR(F31&lt;PARAMETROS!$B$12,F31&gt;PARAMETROS!$B$13,G31&lt;PARAMETROS!$B$11),"NO APTO",IF(O31&lt;IF(F31&lt;1.6,CONFIG!$B$4,IF(F31&lt;1.7,CONFIG!$B$5,IF(F31&lt;1.8,CONFIG!$B$6,IF(F31&lt;2,CONFIG!$B$7,IF(F31&lt;2.2,CONFIG!$B$8,CONFIG!$B$9))))),"NO APTO",IF(R31&lt;PARAMETROS!$B$14,"NO APTO",IF(S31&gt;=PARAMETROS!$B$10,"ALERTA FUERTE",IF(S31&gt;=PARAMETROS!$B$9,"ALERTA MEDIA","NO APTO"))))))</f>
        <v/>
      </c>
      <c r="U31" s="2">
        <f>IF(T31="","",IF(T31="NO APTO","No cumple uno o más filtros",IF(T31="ALERTA FUERTE","Probabilidad, EV, muestra y score superan filtros","Cumple filtros con confianza media")))</f>
        <v/>
      </c>
    </row>
    <row r="32">
      <c r="A32" s="2">
        <f>IF(C32="","",ROW()-1)</f>
        <v/>
      </c>
      <c r="B32" s="2" t="n"/>
      <c r="C32" s="2" t="n"/>
      <c r="D32" s="2" t="n"/>
      <c r="E32" s="2" t="n"/>
      <c r="F32" s="6" t="n"/>
      <c r="G32" s="2" t="n"/>
      <c r="H32" s="7" t="n"/>
      <c r="I32" s="7" t="n"/>
      <c r="J32" s="7" t="n"/>
      <c r="K32" s="7" t="n"/>
      <c r="L32" s="7" t="n"/>
      <c r="M32" s="7" t="n"/>
      <c r="N32" s="7" t="n"/>
      <c r="O32" s="7">
        <f>IF(C32="","",MAX(0.05,MIN(0.95,0.20*H32+0.15*I32+0.15*J32+0.25*K32+0.10*L32+0.05*M32+0.10*N32)))</f>
        <v/>
      </c>
      <c r="P32" s="7">
        <f>IFERROR(1/F32,"")</f>
        <v/>
      </c>
      <c r="Q32" s="7">
        <f>IF(OR(O32="",P32=""),"",O32-P32)</f>
        <v/>
      </c>
      <c r="R32" s="7">
        <f>IF(OR(O32="",F32=""),"",O32*F32-1)</f>
        <v/>
      </c>
      <c r="S32" s="2">
        <f>IF(C32="","",ROUND(100*(0.20*H32+0.15*I32+0.15*J32+0.25*K32+0.10*L32+0.05*M32+0.10*N32),0))</f>
        <v/>
      </c>
      <c r="T32" s="2">
        <f>IF(C32="","",IF(OR(F32&lt;PARAMETROS!$B$12,F32&gt;PARAMETROS!$B$13,G32&lt;PARAMETROS!$B$11),"NO APTO",IF(O32&lt;IF(F32&lt;1.6,CONFIG!$B$4,IF(F32&lt;1.7,CONFIG!$B$5,IF(F32&lt;1.8,CONFIG!$B$6,IF(F32&lt;2,CONFIG!$B$7,IF(F32&lt;2.2,CONFIG!$B$8,CONFIG!$B$9))))),"NO APTO",IF(R32&lt;PARAMETROS!$B$14,"NO APTO",IF(S32&gt;=PARAMETROS!$B$10,"ALERTA FUERTE",IF(S32&gt;=PARAMETROS!$B$9,"ALERTA MEDIA","NO APTO"))))))</f>
        <v/>
      </c>
      <c r="U32" s="2">
        <f>IF(T32="","",IF(T32="NO APTO","No cumple uno o más filtros",IF(T32="ALERTA FUERTE","Probabilidad, EV, muestra y score superan filtros","Cumple filtros con confianza media")))</f>
        <v/>
      </c>
    </row>
    <row r="33">
      <c r="A33" s="2">
        <f>IF(C33="","",ROW()-1)</f>
        <v/>
      </c>
      <c r="B33" s="2" t="n"/>
      <c r="C33" s="2" t="n"/>
      <c r="D33" s="2" t="n"/>
      <c r="E33" s="2" t="n"/>
      <c r="F33" s="6" t="n"/>
      <c r="G33" s="2" t="n"/>
      <c r="H33" s="7" t="n"/>
      <c r="I33" s="7" t="n"/>
      <c r="J33" s="7" t="n"/>
      <c r="K33" s="7" t="n"/>
      <c r="L33" s="7" t="n"/>
      <c r="M33" s="7" t="n"/>
      <c r="N33" s="7" t="n"/>
      <c r="O33" s="7">
        <f>IF(C33="","",MAX(0.05,MIN(0.95,0.20*H33+0.15*I33+0.15*J33+0.25*K33+0.10*L33+0.05*M33+0.10*N33)))</f>
        <v/>
      </c>
      <c r="P33" s="7">
        <f>IFERROR(1/F33,"")</f>
        <v/>
      </c>
      <c r="Q33" s="7">
        <f>IF(OR(O33="",P33=""),"",O33-P33)</f>
        <v/>
      </c>
      <c r="R33" s="7">
        <f>IF(OR(O33="",F33=""),"",O33*F33-1)</f>
        <v/>
      </c>
      <c r="S33" s="2">
        <f>IF(C33="","",ROUND(100*(0.20*H33+0.15*I33+0.15*J33+0.25*K33+0.10*L33+0.05*M33+0.10*N33),0))</f>
        <v/>
      </c>
      <c r="T33" s="2">
        <f>IF(C33="","",IF(OR(F33&lt;PARAMETROS!$B$12,F33&gt;PARAMETROS!$B$13,G33&lt;PARAMETROS!$B$11),"NO APTO",IF(O33&lt;IF(F33&lt;1.6,CONFIG!$B$4,IF(F33&lt;1.7,CONFIG!$B$5,IF(F33&lt;1.8,CONFIG!$B$6,IF(F33&lt;2,CONFIG!$B$7,IF(F33&lt;2.2,CONFIG!$B$8,CONFIG!$B$9))))),"NO APTO",IF(R33&lt;PARAMETROS!$B$14,"NO APTO",IF(S33&gt;=PARAMETROS!$B$10,"ALERTA FUERTE",IF(S33&gt;=PARAMETROS!$B$9,"ALERTA MEDIA","NO APTO"))))))</f>
        <v/>
      </c>
      <c r="U33" s="2">
        <f>IF(T33="","",IF(T33="NO APTO","No cumple uno o más filtros",IF(T33="ALERTA FUERTE","Probabilidad, EV, muestra y score superan filtros","Cumple filtros con confianza media")))</f>
        <v/>
      </c>
    </row>
    <row r="34">
      <c r="A34" s="2">
        <f>IF(C34="","",ROW()-1)</f>
        <v/>
      </c>
      <c r="B34" s="2" t="n"/>
      <c r="C34" s="2" t="n"/>
      <c r="D34" s="2" t="n"/>
      <c r="E34" s="2" t="n"/>
      <c r="F34" s="6" t="n"/>
      <c r="G34" s="2" t="n"/>
      <c r="H34" s="7" t="n"/>
      <c r="I34" s="7" t="n"/>
      <c r="J34" s="7" t="n"/>
      <c r="K34" s="7" t="n"/>
      <c r="L34" s="7" t="n"/>
      <c r="M34" s="7" t="n"/>
      <c r="N34" s="7" t="n"/>
      <c r="O34" s="7">
        <f>IF(C34="","",MAX(0.05,MIN(0.95,0.20*H34+0.15*I34+0.15*J34+0.25*K34+0.10*L34+0.05*M34+0.10*N34)))</f>
        <v/>
      </c>
      <c r="P34" s="7">
        <f>IFERROR(1/F34,"")</f>
        <v/>
      </c>
      <c r="Q34" s="7">
        <f>IF(OR(O34="",P34=""),"",O34-P34)</f>
        <v/>
      </c>
      <c r="R34" s="7">
        <f>IF(OR(O34="",F34=""),"",O34*F34-1)</f>
        <v/>
      </c>
      <c r="S34" s="2">
        <f>IF(C34="","",ROUND(100*(0.20*H34+0.15*I34+0.15*J34+0.25*K34+0.10*L34+0.05*M34+0.10*N34),0))</f>
        <v/>
      </c>
      <c r="T34" s="2">
        <f>IF(C34="","",IF(OR(F34&lt;PARAMETROS!$B$12,F34&gt;PARAMETROS!$B$13,G34&lt;PARAMETROS!$B$11),"NO APTO",IF(O34&lt;IF(F34&lt;1.6,CONFIG!$B$4,IF(F34&lt;1.7,CONFIG!$B$5,IF(F34&lt;1.8,CONFIG!$B$6,IF(F34&lt;2,CONFIG!$B$7,IF(F34&lt;2.2,CONFIG!$B$8,CONFIG!$B$9))))),"NO APTO",IF(R34&lt;PARAMETROS!$B$14,"NO APTO",IF(S34&gt;=PARAMETROS!$B$10,"ALERTA FUERTE",IF(S34&gt;=PARAMETROS!$B$9,"ALERTA MEDIA","NO APTO"))))))</f>
        <v/>
      </c>
      <c r="U34" s="2">
        <f>IF(T34="","",IF(T34="NO APTO","No cumple uno o más filtros",IF(T34="ALERTA FUERTE","Probabilidad, EV, muestra y score superan filtros","Cumple filtros con confianza media")))</f>
        <v/>
      </c>
    </row>
    <row r="35">
      <c r="A35" s="2">
        <f>IF(C35="","",ROW()-1)</f>
        <v/>
      </c>
      <c r="B35" s="2" t="n"/>
      <c r="C35" s="2" t="n"/>
      <c r="D35" s="2" t="n"/>
      <c r="E35" s="2" t="n"/>
      <c r="F35" s="6" t="n"/>
      <c r="G35" s="2" t="n"/>
      <c r="H35" s="7" t="n"/>
      <c r="I35" s="7" t="n"/>
      <c r="J35" s="7" t="n"/>
      <c r="K35" s="7" t="n"/>
      <c r="L35" s="7" t="n"/>
      <c r="M35" s="7" t="n"/>
      <c r="N35" s="7" t="n"/>
      <c r="O35" s="7">
        <f>IF(C35="","",MAX(0.05,MIN(0.95,0.20*H35+0.15*I35+0.15*J35+0.25*K35+0.10*L35+0.05*M35+0.10*N35)))</f>
        <v/>
      </c>
      <c r="P35" s="7">
        <f>IFERROR(1/F35,"")</f>
        <v/>
      </c>
      <c r="Q35" s="7">
        <f>IF(OR(O35="",P35=""),"",O35-P35)</f>
        <v/>
      </c>
      <c r="R35" s="7">
        <f>IF(OR(O35="",F35=""),"",O35*F35-1)</f>
        <v/>
      </c>
      <c r="S35" s="2">
        <f>IF(C35="","",ROUND(100*(0.20*H35+0.15*I35+0.15*J35+0.25*K35+0.10*L35+0.05*M35+0.10*N35),0))</f>
        <v/>
      </c>
      <c r="T35" s="2">
        <f>IF(C35="","",IF(OR(F35&lt;PARAMETROS!$B$12,F35&gt;PARAMETROS!$B$13,G35&lt;PARAMETROS!$B$11),"NO APTO",IF(O35&lt;IF(F35&lt;1.6,CONFIG!$B$4,IF(F35&lt;1.7,CONFIG!$B$5,IF(F35&lt;1.8,CONFIG!$B$6,IF(F35&lt;2,CONFIG!$B$7,IF(F35&lt;2.2,CONFIG!$B$8,CONFIG!$B$9))))),"NO APTO",IF(R35&lt;PARAMETROS!$B$14,"NO APTO",IF(S35&gt;=PARAMETROS!$B$10,"ALERTA FUERTE",IF(S35&gt;=PARAMETROS!$B$9,"ALERTA MEDIA","NO APTO"))))))</f>
        <v/>
      </c>
      <c r="U35" s="2">
        <f>IF(T35="","",IF(T35="NO APTO","No cumple uno o más filtros",IF(T35="ALERTA FUERTE","Probabilidad, EV, muestra y score superan filtros","Cumple filtros con confianza media")))</f>
        <v/>
      </c>
    </row>
    <row r="36">
      <c r="A36" s="2">
        <f>IF(C36="","",ROW()-1)</f>
        <v/>
      </c>
      <c r="B36" s="2" t="n"/>
      <c r="C36" s="2" t="n"/>
      <c r="D36" s="2" t="n"/>
      <c r="E36" s="2" t="n"/>
      <c r="F36" s="6" t="n"/>
      <c r="G36" s="2" t="n"/>
      <c r="H36" s="7" t="n"/>
      <c r="I36" s="7" t="n"/>
      <c r="J36" s="7" t="n"/>
      <c r="K36" s="7" t="n"/>
      <c r="L36" s="7" t="n"/>
      <c r="M36" s="7" t="n"/>
      <c r="N36" s="7" t="n"/>
      <c r="O36" s="7">
        <f>IF(C36="","",MAX(0.05,MIN(0.95,0.20*H36+0.15*I36+0.15*J36+0.25*K36+0.10*L36+0.05*M36+0.10*N36)))</f>
        <v/>
      </c>
      <c r="P36" s="7">
        <f>IFERROR(1/F36,"")</f>
        <v/>
      </c>
      <c r="Q36" s="7">
        <f>IF(OR(O36="",P36=""),"",O36-P36)</f>
        <v/>
      </c>
      <c r="R36" s="7">
        <f>IF(OR(O36="",F36=""),"",O36*F36-1)</f>
        <v/>
      </c>
      <c r="S36" s="2">
        <f>IF(C36="","",ROUND(100*(0.20*H36+0.15*I36+0.15*J36+0.25*K36+0.10*L36+0.05*M36+0.10*N36),0))</f>
        <v/>
      </c>
      <c r="T36" s="2">
        <f>IF(C36="","",IF(OR(F36&lt;PARAMETROS!$B$12,F36&gt;PARAMETROS!$B$13,G36&lt;PARAMETROS!$B$11),"NO APTO",IF(O36&lt;IF(F36&lt;1.6,CONFIG!$B$4,IF(F36&lt;1.7,CONFIG!$B$5,IF(F36&lt;1.8,CONFIG!$B$6,IF(F36&lt;2,CONFIG!$B$7,IF(F36&lt;2.2,CONFIG!$B$8,CONFIG!$B$9))))),"NO APTO",IF(R36&lt;PARAMETROS!$B$14,"NO APTO",IF(S36&gt;=PARAMETROS!$B$10,"ALERTA FUERTE",IF(S36&gt;=PARAMETROS!$B$9,"ALERTA MEDIA","NO APTO"))))))</f>
        <v/>
      </c>
      <c r="U36" s="2">
        <f>IF(T36="","",IF(T36="NO APTO","No cumple uno o más filtros",IF(T36="ALERTA FUERTE","Probabilidad, EV, muestra y score superan filtros","Cumple filtros con confianza media")))</f>
        <v/>
      </c>
    </row>
    <row r="37">
      <c r="A37" s="2">
        <f>IF(C37="","",ROW()-1)</f>
        <v/>
      </c>
      <c r="B37" s="2" t="n"/>
      <c r="C37" s="2" t="n"/>
      <c r="D37" s="2" t="n"/>
      <c r="E37" s="2" t="n"/>
      <c r="F37" s="6" t="n"/>
      <c r="G37" s="2" t="n"/>
      <c r="H37" s="7" t="n"/>
      <c r="I37" s="7" t="n"/>
      <c r="J37" s="7" t="n"/>
      <c r="K37" s="7" t="n"/>
      <c r="L37" s="7" t="n"/>
      <c r="M37" s="7" t="n"/>
      <c r="N37" s="7" t="n"/>
      <c r="O37" s="7">
        <f>IF(C37="","",MAX(0.05,MIN(0.95,0.20*H37+0.15*I37+0.15*J37+0.25*K37+0.10*L37+0.05*M37+0.10*N37)))</f>
        <v/>
      </c>
      <c r="P37" s="7">
        <f>IFERROR(1/F37,"")</f>
        <v/>
      </c>
      <c r="Q37" s="7">
        <f>IF(OR(O37="",P37=""),"",O37-P37)</f>
        <v/>
      </c>
      <c r="R37" s="7">
        <f>IF(OR(O37="",F37=""),"",O37*F37-1)</f>
        <v/>
      </c>
      <c r="S37" s="2">
        <f>IF(C37="","",ROUND(100*(0.20*H37+0.15*I37+0.15*J37+0.25*K37+0.10*L37+0.05*M37+0.10*N37),0))</f>
        <v/>
      </c>
      <c r="T37" s="2">
        <f>IF(C37="","",IF(OR(F37&lt;PARAMETROS!$B$12,F37&gt;PARAMETROS!$B$13,G37&lt;PARAMETROS!$B$11),"NO APTO",IF(O37&lt;IF(F37&lt;1.6,CONFIG!$B$4,IF(F37&lt;1.7,CONFIG!$B$5,IF(F37&lt;1.8,CONFIG!$B$6,IF(F37&lt;2,CONFIG!$B$7,IF(F37&lt;2.2,CONFIG!$B$8,CONFIG!$B$9))))),"NO APTO",IF(R37&lt;PARAMETROS!$B$14,"NO APTO",IF(S37&gt;=PARAMETROS!$B$10,"ALERTA FUERTE",IF(S37&gt;=PARAMETROS!$B$9,"ALERTA MEDIA","NO APTO"))))))</f>
        <v/>
      </c>
      <c r="U37" s="2">
        <f>IF(T37="","",IF(T37="NO APTO","No cumple uno o más filtros",IF(T37="ALERTA FUERTE","Probabilidad, EV, muestra y score superan filtros","Cumple filtros con confianza media")))</f>
        <v/>
      </c>
    </row>
    <row r="38">
      <c r="A38" s="2">
        <f>IF(C38="","",ROW()-1)</f>
        <v/>
      </c>
      <c r="B38" s="2" t="n"/>
      <c r="C38" s="2" t="n"/>
      <c r="D38" s="2" t="n"/>
      <c r="E38" s="2" t="n"/>
      <c r="F38" s="6" t="n"/>
      <c r="G38" s="2" t="n"/>
      <c r="H38" s="7" t="n"/>
      <c r="I38" s="7" t="n"/>
      <c r="J38" s="7" t="n"/>
      <c r="K38" s="7" t="n"/>
      <c r="L38" s="7" t="n"/>
      <c r="M38" s="7" t="n"/>
      <c r="N38" s="7" t="n"/>
      <c r="O38" s="7">
        <f>IF(C38="","",MAX(0.05,MIN(0.95,0.20*H38+0.15*I38+0.15*J38+0.25*K38+0.10*L38+0.05*M38+0.10*N38)))</f>
        <v/>
      </c>
      <c r="P38" s="7">
        <f>IFERROR(1/F38,"")</f>
        <v/>
      </c>
      <c r="Q38" s="7">
        <f>IF(OR(O38="",P38=""),"",O38-P38)</f>
        <v/>
      </c>
      <c r="R38" s="7">
        <f>IF(OR(O38="",F38=""),"",O38*F38-1)</f>
        <v/>
      </c>
      <c r="S38" s="2">
        <f>IF(C38="","",ROUND(100*(0.20*H38+0.15*I38+0.15*J38+0.25*K38+0.10*L38+0.05*M38+0.10*N38),0))</f>
        <v/>
      </c>
      <c r="T38" s="2">
        <f>IF(C38="","",IF(OR(F38&lt;PARAMETROS!$B$12,F38&gt;PARAMETROS!$B$13,G38&lt;PARAMETROS!$B$11),"NO APTO",IF(O38&lt;IF(F38&lt;1.6,CONFIG!$B$4,IF(F38&lt;1.7,CONFIG!$B$5,IF(F38&lt;1.8,CONFIG!$B$6,IF(F38&lt;2,CONFIG!$B$7,IF(F38&lt;2.2,CONFIG!$B$8,CONFIG!$B$9))))),"NO APTO",IF(R38&lt;PARAMETROS!$B$14,"NO APTO",IF(S38&gt;=PARAMETROS!$B$10,"ALERTA FUERTE",IF(S38&gt;=PARAMETROS!$B$9,"ALERTA MEDIA","NO APTO"))))))</f>
        <v/>
      </c>
      <c r="U38" s="2">
        <f>IF(T38="","",IF(T38="NO APTO","No cumple uno o más filtros",IF(T38="ALERTA FUERTE","Probabilidad, EV, muestra y score superan filtros","Cumple filtros con confianza media")))</f>
        <v/>
      </c>
    </row>
    <row r="39">
      <c r="A39" s="2">
        <f>IF(C39="","",ROW()-1)</f>
        <v/>
      </c>
      <c r="B39" s="2" t="n"/>
      <c r="C39" s="2" t="n"/>
      <c r="D39" s="2" t="n"/>
      <c r="E39" s="2" t="n"/>
      <c r="F39" s="6" t="n"/>
      <c r="G39" s="2" t="n"/>
      <c r="H39" s="7" t="n"/>
      <c r="I39" s="7" t="n"/>
      <c r="J39" s="7" t="n"/>
      <c r="K39" s="7" t="n"/>
      <c r="L39" s="7" t="n"/>
      <c r="M39" s="7" t="n"/>
      <c r="N39" s="7" t="n"/>
      <c r="O39" s="7">
        <f>IF(C39="","",MAX(0.05,MIN(0.95,0.20*H39+0.15*I39+0.15*J39+0.25*K39+0.10*L39+0.05*M39+0.10*N39)))</f>
        <v/>
      </c>
      <c r="P39" s="7">
        <f>IFERROR(1/F39,"")</f>
        <v/>
      </c>
      <c r="Q39" s="7">
        <f>IF(OR(O39="",P39=""),"",O39-P39)</f>
        <v/>
      </c>
      <c r="R39" s="7">
        <f>IF(OR(O39="",F39=""),"",O39*F39-1)</f>
        <v/>
      </c>
      <c r="S39" s="2">
        <f>IF(C39="","",ROUND(100*(0.20*H39+0.15*I39+0.15*J39+0.25*K39+0.10*L39+0.05*M39+0.10*N39),0))</f>
        <v/>
      </c>
      <c r="T39" s="2">
        <f>IF(C39="","",IF(OR(F39&lt;PARAMETROS!$B$12,F39&gt;PARAMETROS!$B$13,G39&lt;PARAMETROS!$B$11),"NO APTO",IF(O39&lt;IF(F39&lt;1.6,CONFIG!$B$4,IF(F39&lt;1.7,CONFIG!$B$5,IF(F39&lt;1.8,CONFIG!$B$6,IF(F39&lt;2,CONFIG!$B$7,IF(F39&lt;2.2,CONFIG!$B$8,CONFIG!$B$9))))),"NO APTO",IF(R39&lt;PARAMETROS!$B$14,"NO APTO",IF(S39&gt;=PARAMETROS!$B$10,"ALERTA FUERTE",IF(S39&gt;=PARAMETROS!$B$9,"ALERTA MEDIA","NO APTO"))))))</f>
        <v/>
      </c>
      <c r="U39" s="2">
        <f>IF(T39="","",IF(T39="NO APTO","No cumple uno o más filtros",IF(T39="ALERTA FUERTE","Probabilidad, EV, muestra y score superan filtros","Cumple filtros con confianza media")))</f>
        <v/>
      </c>
    </row>
    <row r="40">
      <c r="A40" s="2">
        <f>IF(C40="","",ROW()-1)</f>
        <v/>
      </c>
      <c r="B40" s="2" t="n"/>
      <c r="C40" s="2" t="n"/>
      <c r="D40" s="2" t="n"/>
      <c r="E40" s="2" t="n"/>
      <c r="F40" s="6" t="n"/>
      <c r="G40" s="2" t="n"/>
      <c r="H40" s="7" t="n"/>
      <c r="I40" s="7" t="n"/>
      <c r="J40" s="7" t="n"/>
      <c r="K40" s="7" t="n"/>
      <c r="L40" s="7" t="n"/>
      <c r="M40" s="7" t="n"/>
      <c r="N40" s="7" t="n"/>
      <c r="O40" s="7">
        <f>IF(C40="","",MAX(0.05,MIN(0.95,0.20*H40+0.15*I40+0.15*J40+0.25*K40+0.10*L40+0.05*M40+0.10*N40)))</f>
        <v/>
      </c>
      <c r="P40" s="7">
        <f>IFERROR(1/F40,"")</f>
        <v/>
      </c>
      <c r="Q40" s="7">
        <f>IF(OR(O40="",P40=""),"",O40-P40)</f>
        <v/>
      </c>
      <c r="R40" s="7">
        <f>IF(OR(O40="",F40=""),"",O40*F40-1)</f>
        <v/>
      </c>
      <c r="S40" s="2">
        <f>IF(C40="","",ROUND(100*(0.20*H40+0.15*I40+0.15*J40+0.25*K40+0.10*L40+0.05*M40+0.10*N40),0))</f>
        <v/>
      </c>
      <c r="T40" s="2">
        <f>IF(C40="","",IF(OR(F40&lt;PARAMETROS!$B$12,F40&gt;PARAMETROS!$B$13,G40&lt;PARAMETROS!$B$11),"NO APTO",IF(O40&lt;IF(F40&lt;1.6,CONFIG!$B$4,IF(F40&lt;1.7,CONFIG!$B$5,IF(F40&lt;1.8,CONFIG!$B$6,IF(F40&lt;2,CONFIG!$B$7,IF(F40&lt;2.2,CONFIG!$B$8,CONFIG!$B$9))))),"NO APTO",IF(R40&lt;PARAMETROS!$B$14,"NO APTO",IF(S40&gt;=PARAMETROS!$B$10,"ALERTA FUERTE",IF(S40&gt;=PARAMETROS!$B$9,"ALERTA MEDIA","NO APTO"))))))</f>
        <v/>
      </c>
      <c r="U40" s="2">
        <f>IF(T40="","",IF(T40="NO APTO","No cumple uno o más filtros",IF(T40="ALERTA FUERTE","Probabilidad, EV, muestra y score superan filtros","Cumple filtros con confianza media")))</f>
        <v/>
      </c>
    </row>
    <row r="41">
      <c r="A41" s="2">
        <f>IF(C41="","",ROW()-1)</f>
        <v/>
      </c>
      <c r="B41" s="2" t="n"/>
      <c r="C41" s="2" t="n"/>
      <c r="D41" s="2" t="n"/>
      <c r="E41" s="2" t="n"/>
      <c r="F41" s="6" t="n"/>
      <c r="G41" s="2" t="n"/>
      <c r="H41" s="7" t="n"/>
      <c r="I41" s="7" t="n"/>
      <c r="J41" s="7" t="n"/>
      <c r="K41" s="7" t="n"/>
      <c r="L41" s="7" t="n"/>
      <c r="M41" s="7" t="n"/>
      <c r="N41" s="7" t="n"/>
      <c r="O41" s="7">
        <f>IF(C41="","",MAX(0.05,MIN(0.95,0.20*H41+0.15*I41+0.15*J41+0.25*K41+0.10*L41+0.05*M41+0.10*N41)))</f>
        <v/>
      </c>
      <c r="P41" s="7">
        <f>IFERROR(1/F41,"")</f>
        <v/>
      </c>
      <c r="Q41" s="7">
        <f>IF(OR(O41="",P41=""),"",O41-P41)</f>
        <v/>
      </c>
      <c r="R41" s="7">
        <f>IF(OR(O41="",F41=""),"",O41*F41-1)</f>
        <v/>
      </c>
      <c r="S41" s="2">
        <f>IF(C41="","",ROUND(100*(0.20*H41+0.15*I41+0.15*J41+0.25*K41+0.10*L41+0.05*M41+0.10*N41),0))</f>
        <v/>
      </c>
      <c r="T41" s="2">
        <f>IF(C41="","",IF(OR(F41&lt;PARAMETROS!$B$12,F41&gt;PARAMETROS!$B$13,G41&lt;PARAMETROS!$B$11),"NO APTO",IF(O41&lt;IF(F41&lt;1.6,CONFIG!$B$4,IF(F41&lt;1.7,CONFIG!$B$5,IF(F41&lt;1.8,CONFIG!$B$6,IF(F41&lt;2,CONFIG!$B$7,IF(F41&lt;2.2,CONFIG!$B$8,CONFIG!$B$9))))),"NO APTO",IF(R41&lt;PARAMETROS!$B$14,"NO APTO",IF(S41&gt;=PARAMETROS!$B$10,"ALERTA FUERTE",IF(S41&gt;=PARAMETROS!$B$9,"ALERTA MEDIA","NO APTO"))))))</f>
        <v/>
      </c>
      <c r="U41" s="2">
        <f>IF(T41="","",IF(T41="NO APTO","No cumple uno o más filtros",IF(T41="ALERTA FUERTE","Probabilidad, EV, muestra y score superan filtros","Cumple filtros con confianza media")))</f>
        <v/>
      </c>
    </row>
    <row r="42">
      <c r="A42" s="2">
        <f>IF(C42="","",ROW()-1)</f>
        <v/>
      </c>
      <c r="B42" s="2" t="n"/>
      <c r="C42" s="2" t="n"/>
      <c r="D42" s="2" t="n"/>
      <c r="E42" s="2" t="n"/>
      <c r="F42" s="6" t="n"/>
      <c r="G42" s="2" t="n"/>
      <c r="H42" s="7" t="n"/>
      <c r="I42" s="7" t="n"/>
      <c r="J42" s="7" t="n"/>
      <c r="K42" s="7" t="n"/>
      <c r="L42" s="7" t="n"/>
      <c r="M42" s="7" t="n"/>
      <c r="N42" s="7" t="n"/>
      <c r="O42" s="7">
        <f>IF(C42="","",MAX(0.05,MIN(0.95,0.20*H42+0.15*I42+0.15*J42+0.25*K42+0.10*L42+0.05*M42+0.10*N42)))</f>
        <v/>
      </c>
      <c r="P42" s="7">
        <f>IFERROR(1/F42,"")</f>
        <v/>
      </c>
      <c r="Q42" s="7">
        <f>IF(OR(O42="",P42=""),"",O42-P42)</f>
        <v/>
      </c>
      <c r="R42" s="7">
        <f>IF(OR(O42="",F42=""),"",O42*F42-1)</f>
        <v/>
      </c>
      <c r="S42" s="2">
        <f>IF(C42="","",ROUND(100*(0.20*H42+0.15*I42+0.15*J42+0.25*K42+0.10*L42+0.05*M42+0.10*N42),0))</f>
        <v/>
      </c>
      <c r="T42" s="2">
        <f>IF(C42="","",IF(OR(F42&lt;PARAMETROS!$B$12,F42&gt;PARAMETROS!$B$13,G42&lt;PARAMETROS!$B$11),"NO APTO",IF(O42&lt;IF(F42&lt;1.6,CONFIG!$B$4,IF(F42&lt;1.7,CONFIG!$B$5,IF(F42&lt;1.8,CONFIG!$B$6,IF(F42&lt;2,CONFIG!$B$7,IF(F42&lt;2.2,CONFIG!$B$8,CONFIG!$B$9))))),"NO APTO",IF(R42&lt;PARAMETROS!$B$14,"NO APTO",IF(S42&gt;=PARAMETROS!$B$10,"ALERTA FUERTE",IF(S42&gt;=PARAMETROS!$B$9,"ALERTA MEDIA","NO APTO"))))))</f>
        <v/>
      </c>
      <c r="U42" s="2">
        <f>IF(T42="","",IF(T42="NO APTO","No cumple uno o más filtros",IF(T42="ALERTA FUERTE","Probabilidad, EV, muestra y score superan filtros","Cumple filtros con confianza media")))</f>
        <v/>
      </c>
    </row>
    <row r="43">
      <c r="A43" s="2">
        <f>IF(C43="","",ROW()-1)</f>
        <v/>
      </c>
      <c r="B43" s="2" t="n"/>
      <c r="C43" s="2" t="n"/>
      <c r="D43" s="2" t="n"/>
      <c r="E43" s="2" t="n"/>
      <c r="F43" s="6" t="n"/>
      <c r="G43" s="2" t="n"/>
      <c r="H43" s="7" t="n"/>
      <c r="I43" s="7" t="n"/>
      <c r="J43" s="7" t="n"/>
      <c r="K43" s="7" t="n"/>
      <c r="L43" s="7" t="n"/>
      <c r="M43" s="7" t="n"/>
      <c r="N43" s="7" t="n"/>
      <c r="O43" s="7">
        <f>IF(C43="","",MAX(0.05,MIN(0.95,0.20*H43+0.15*I43+0.15*J43+0.25*K43+0.10*L43+0.05*M43+0.10*N43)))</f>
        <v/>
      </c>
      <c r="P43" s="7">
        <f>IFERROR(1/F43,"")</f>
        <v/>
      </c>
      <c r="Q43" s="7">
        <f>IF(OR(O43="",P43=""),"",O43-P43)</f>
        <v/>
      </c>
      <c r="R43" s="7">
        <f>IF(OR(O43="",F43=""),"",O43*F43-1)</f>
        <v/>
      </c>
      <c r="S43" s="2">
        <f>IF(C43="","",ROUND(100*(0.20*H43+0.15*I43+0.15*J43+0.25*K43+0.10*L43+0.05*M43+0.10*N43),0))</f>
        <v/>
      </c>
      <c r="T43" s="2">
        <f>IF(C43="","",IF(OR(F43&lt;PARAMETROS!$B$12,F43&gt;PARAMETROS!$B$13,G43&lt;PARAMETROS!$B$11),"NO APTO",IF(O43&lt;IF(F43&lt;1.6,CONFIG!$B$4,IF(F43&lt;1.7,CONFIG!$B$5,IF(F43&lt;1.8,CONFIG!$B$6,IF(F43&lt;2,CONFIG!$B$7,IF(F43&lt;2.2,CONFIG!$B$8,CONFIG!$B$9))))),"NO APTO",IF(R43&lt;PARAMETROS!$B$14,"NO APTO",IF(S43&gt;=PARAMETROS!$B$10,"ALERTA FUERTE",IF(S43&gt;=PARAMETROS!$B$9,"ALERTA MEDIA","NO APTO"))))))</f>
        <v/>
      </c>
      <c r="U43" s="2">
        <f>IF(T43="","",IF(T43="NO APTO","No cumple uno o más filtros",IF(T43="ALERTA FUERTE","Probabilidad, EV, muestra y score superan filtros","Cumple filtros con confianza media")))</f>
        <v/>
      </c>
    </row>
    <row r="44">
      <c r="A44" s="2">
        <f>IF(C44="","",ROW()-1)</f>
        <v/>
      </c>
      <c r="B44" s="2" t="n"/>
      <c r="C44" s="2" t="n"/>
      <c r="D44" s="2" t="n"/>
      <c r="E44" s="2" t="n"/>
      <c r="F44" s="6" t="n"/>
      <c r="G44" s="2" t="n"/>
      <c r="H44" s="7" t="n"/>
      <c r="I44" s="7" t="n"/>
      <c r="J44" s="7" t="n"/>
      <c r="K44" s="7" t="n"/>
      <c r="L44" s="7" t="n"/>
      <c r="M44" s="7" t="n"/>
      <c r="N44" s="7" t="n"/>
      <c r="O44" s="7">
        <f>IF(C44="","",MAX(0.05,MIN(0.95,0.20*H44+0.15*I44+0.15*J44+0.25*K44+0.10*L44+0.05*M44+0.10*N44)))</f>
        <v/>
      </c>
      <c r="P44" s="7">
        <f>IFERROR(1/F44,"")</f>
        <v/>
      </c>
      <c r="Q44" s="7">
        <f>IF(OR(O44="",P44=""),"",O44-P44)</f>
        <v/>
      </c>
      <c r="R44" s="7">
        <f>IF(OR(O44="",F44=""),"",O44*F44-1)</f>
        <v/>
      </c>
      <c r="S44" s="2">
        <f>IF(C44="","",ROUND(100*(0.20*H44+0.15*I44+0.15*J44+0.25*K44+0.10*L44+0.05*M44+0.10*N44),0))</f>
        <v/>
      </c>
      <c r="T44" s="2">
        <f>IF(C44="","",IF(OR(F44&lt;PARAMETROS!$B$12,F44&gt;PARAMETROS!$B$13,G44&lt;PARAMETROS!$B$11),"NO APTO",IF(O44&lt;IF(F44&lt;1.6,CONFIG!$B$4,IF(F44&lt;1.7,CONFIG!$B$5,IF(F44&lt;1.8,CONFIG!$B$6,IF(F44&lt;2,CONFIG!$B$7,IF(F44&lt;2.2,CONFIG!$B$8,CONFIG!$B$9))))),"NO APTO",IF(R44&lt;PARAMETROS!$B$14,"NO APTO",IF(S44&gt;=PARAMETROS!$B$10,"ALERTA FUERTE",IF(S44&gt;=PARAMETROS!$B$9,"ALERTA MEDIA","NO APTO"))))))</f>
        <v/>
      </c>
      <c r="U44" s="2">
        <f>IF(T44="","",IF(T44="NO APTO","No cumple uno o más filtros",IF(T44="ALERTA FUERTE","Probabilidad, EV, muestra y score superan filtros","Cumple filtros con confianza media")))</f>
        <v/>
      </c>
    </row>
    <row r="45">
      <c r="A45" s="2">
        <f>IF(C45="","",ROW()-1)</f>
        <v/>
      </c>
      <c r="B45" s="2" t="n"/>
      <c r="C45" s="2" t="n"/>
      <c r="D45" s="2" t="n"/>
      <c r="E45" s="2" t="n"/>
      <c r="F45" s="6" t="n"/>
      <c r="G45" s="2" t="n"/>
      <c r="H45" s="7" t="n"/>
      <c r="I45" s="7" t="n"/>
      <c r="J45" s="7" t="n"/>
      <c r="K45" s="7" t="n"/>
      <c r="L45" s="7" t="n"/>
      <c r="M45" s="7" t="n"/>
      <c r="N45" s="7" t="n"/>
      <c r="O45" s="7">
        <f>IF(C45="","",MAX(0.05,MIN(0.95,0.20*H45+0.15*I45+0.15*J45+0.25*K45+0.10*L45+0.05*M45+0.10*N45)))</f>
        <v/>
      </c>
      <c r="P45" s="7">
        <f>IFERROR(1/F45,"")</f>
        <v/>
      </c>
      <c r="Q45" s="7">
        <f>IF(OR(O45="",P45=""),"",O45-P45)</f>
        <v/>
      </c>
      <c r="R45" s="7">
        <f>IF(OR(O45="",F45=""),"",O45*F45-1)</f>
        <v/>
      </c>
      <c r="S45" s="2">
        <f>IF(C45="","",ROUND(100*(0.20*H45+0.15*I45+0.15*J45+0.25*K45+0.10*L45+0.05*M45+0.10*N45),0))</f>
        <v/>
      </c>
      <c r="T45" s="2">
        <f>IF(C45="","",IF(OR(F45&lt;PARAMETROS!$B$12,F45&gt;PARAMETROS!$B$13,G45&lt;PARAMETROS!$B$11),"NO APTO",IF(O45&lt;IF(F45&lt;1.6,CONFIG!$B$4,IF(F45&lt;1.7,CONFIG!$B$5,IF(F45&lt;1.8,CONFIG!$B$6,IF(F45&lt;2,CONFIG!$B$7,IF(F45&lt;2.2,CONFIG!$B$8,CONFIG!$B$9))))),"NO APTO",IF(R45&lt;PARAMETROS!$B$14,"NO APTO",IF(S45&gt;=PARAMETROS!$B$10,"ALERTA FUERTE",IF(S45&gt;=PARAMETROS!$B$9,"ALERTA MEDIA","NO APTO"))))))</f>
        <v/>
      </c>
      <c r="U45" s="2">
        <f>IF(T45="","",IF(T45="NO APTO","No cumple uno o más filtros",IF(T45="ALERTA FUERTE","Probabilidad, EV, muestra y score superan filtros","Cumple filtros con confianza media")))</f>
        <v/>
      </c>
    </row>
    <row r="46">
      <c r="A46" s="2">
        <f>IF(C46="","",ROW()-1)</f>
        <v/>
      </c>
      <c r="B46" s="2" t="n"/>
      <c r="C46" s="2" t="n"/>
      <c r="D46" s="2" t="n"/>
      <c r="E46" s="2" t="n"/>
      <c r="F46" s="6" t="n"/>
      <c r="G46" s="2" t="n"/>
      <c r="H46" s="7" t="n"/>
      <c r="I46" s="7" t="n"/>
      <c r="J46" s="7" t="n"/>
      <c r="K46" s="7" t="n"/>
      <c r="L46" s="7" t="n"/>
      <c r="M46" s="7" t="n"/>
      <c r="N46" s="7" t="n"/>
      <c r="O46" s="7">
        <f>IF(C46="","",MAX(0.05,MIN(0.95,0.20*H46+0.15*I46+0.15*J46+0.25*K46+0.10*L46+0.05*M46+0.10*N46)))</f>
        <v/>
      </c>
      <c r="P46" s="7">
        <f>IFERROR(1/F46,"")</f>
        <v/>
      </c>
      <c r="Q46" s="7">
        <f>IF(OR(O46="",P46=""),"",O46-P46)</f>
        <v/>
      </c>
      <c r="R46" s="7">
        <f>IF(OR(O46="",F46=""),"",O46*F46-1)</f>
        <v/>
      </c>
      <c r="S46" s="2">
        <f>IF(C46="","",ROUND(100*(0.20*H46+0.15*I46+0.15*J46+0.25*K46+0.10*L46+0.05*M46+0.10*N46),0))</f>
        <v/>
      </c>
      <c r="T46" s="2">
        <f>IF(C46="","",IF(OR(F46&lt;PARAMETROS!$B$12,F46&gt;PARAMETROS!$B$13,G46&lt;PARAMETROS!$B$11),"NO APTO",IF(O46&lt;IF(F46&lt;1.6,CONFIG!$B$4,IF(F46&lt;1.7,CONFIG!$B$5,IF(F46&lt;1.8,CONFIG!$B$6,IF(F46&lt;2,CONFIG!$B$7,IF(F46&lt;2.2,CONFIG!$B$8,CONFIG!$B$9))))),"NO APTO",IF(R46&lt;PARAMETROS!$B$14,"NO APTO",IF(S46&gt;=PARAMETROS!$B$10,"ALERTA FUERTE",IF(S46&gt;=PARAMETROS!$B$9,"ALERTA MEDIA","NO APTO"))))))</f>
        <v/>
      </c>
      <c r="U46" s="2">
        <f>IF(T46="","",IF(T46="NO APTO","No cumple uno o más filtros",IF(T46="ALERTA FUERTE","Probabilidad, EV, muestra y score superan filtros","Cumple filtros con confianza media")))</f>
        <v/>
      </c>
    </row>
    <row r="47">
      <c r="A47" s="2">
        <f>IF(C47="","",ROW()-1)</f>
        <v/>
      </c>
      <c r="B47" s="2" t="n"/>
      <c r="C47" s="2" t="n"/>
      <c r="D47" s="2" t="n"/>
      <c r="E47" s="2" t="n"/>
      <c r="F47" s="6" t="n"/>
      <c r="G47" s="2" t="n"/>
      <c r="H47" s="7" t="n"/>
      <c r="I47" s="7" t="n"/>
      <c r="J47" s="7" t="n"/>
      <c r="K47" s="7" t="n"/>
      <c r="L47" s="7" t="n"/>
      <c r="M47" s="7" t="n"/>
      <c r="N47" s="7" t="n"/>
      <c r="O47" s="7">
        <f>IF(C47="","",MAX(0.05,MIN(0.95,0.20*H47+0.15*I47+0.15*J47+0.25*K47+0.10*L47+0.05*M47+0.10*N47)))</f>
        <v/>
      </c>
      <c r="P47" s="7">
        <f>IFERROR(1/F47,"")</f>
        <v/>
      </c>
      <c r="Q47" s="7">
        <f>IF(OR(O47="",P47=""),"",O47-P47)</f>
        <v/>
      </c>
      <c r="R47" s="7">
        <f>IF(OR(O47="",F47=""),"",O47*F47-1)</f>
        <v/>
      </c>
      <c r="S47" s="2">
        <f>IF(C47="","",ROUND(100*(0.20*H47+0.15*I47+0.15*J47+0.25*K47+0.10*L47+0.05*M47+0.10*N47),0))</f>
        <v/>
      </c>
      <c r="T47" s="2">
        <f>IF(C47="","",IF(OR(F47&lt;PARAMETROS!$B$12,F47&gt;PARAMETROS!$B$13,G47&lt;PARAMETROS!$B$11),"NO APTO",IF(O47&lt;IF(F47&lt;1.6,CONFIG!$B$4,IF(F47&lt;1.7,CONFIG!$B$5,IF(F47&lt;1.8,CONFIG!$B$6,IF(F47&lt;2,CONFIG!$B$7,IF(F47&lt;2.2,CONFIG!$B$8,CONFIG!$B$9))))),"NO APTO",IF(R47&lt;PARAMETROS!$B$14,"NO APTO",IF(S47&gt;=PARAMETROS!$B$10,"ALERTA FUERTE",IF(S47&gt;=PARAMETROS!$B$9,"ALERTA MEDIA","NO APTO"))))))</f>
        <v/>
      </c>
      <c r="U47" s="2">
        <f>IF(T47="","",IF(T47="NO APTO","No cumple uno o más filtros",IF(T47="ALERTA FUERTE","Probabilidad, EV, muestra y score superan filtros","Cumple filtros con confianza media")))</f>
        <v/>
      </c>
    </row>
    <row r="48">
      <c r="A48" s="2">
        <f>IF(C48="","",ROW()-1)</f>
        <v/>
      </c>
      <c r="B48" s="2" t="n"/>
      <c r="C48" s="2" t="n"/>
      <c r="D48" s="2" t="n"/>
      <c r="E48" s="2" t="n"/>
      <c r="F48" s="6" t="n"/>
      <c r="G48" s="2" t="n"/>
      <c r="H48" s="7" t="n"/>
      <c r="I48" s="7" t="n"/>
      <c r="J48" s="7" t="n"/>
      <c r="K48" s="7" t="n"/>
      <c r="L48" s="7" t="n"/>
      <c r="M48" s="7" t="n"/>
      <c r="N48" s="7" t="n"/>
      <c r="O48" s="7">
        <f>IF(C48="","",MAX(0.05,MIN(0.95,0.20*H48+0.15*I48+0.15*J48+0.25*K48+0.10*L48+0.05*M48+0.10*N48)))</f>
        <v/>
      </c>
      <c r="P48" s="7">
        <f>IFERROR(1/F48,"")</f>
        <v/>
      </c>
      <c r="Q48" s="7">
        <f>IF(OR(O48="",P48=""),"",O48-P48)</f>
        <v/>
      </c>
      <c r="R48" s="7">
        <f>IF(OR(O48="",F48=""),"",O48*F48-1)</f>
        <v/>
      </c>
      <c r="S48" s="2">
        <f>IF(C48="","",ROUND(100*(0.20*H48+0.15*I48+0.15*J48+0.25*K48+0.10*L48+0.05*M48+0.10*N48),0))</f>
        <v/>
      </c>
      <c r="T48" s="2">
        <f>IF(C48="","",IF(OR(F48&lt;PARAMETROS!$B$12,F48&gt;PARAMETROS!$B$13,G48&lt;PARAMETROS!$B$11),"NO APTO",IF(O48&lt;IF(F48&lt;1.6,CONFIG!$B$4,IF(F48&lt;1.7,CONFIG!$B$5,IF(F48&lt;1.8,CONFIG!$B$6,IF(F48&lt;2,CONFIG!$B$7,IF(F48&lt;2.2,CONFIG!$B$8,CONFIG!$B$9))))),"NO APTO",IF(R48&lt;PARAMETROS!$B$14,"NO APTO",IF(S48&gt;=PARAMETROS!$B$10,"ALERTA FUERTE",IF(S48&gt;=PARAMETROS!$B$9,"ALERTA MEDIA","NO APTO"))))))</f>
        <v/>
      </c>
      <c r="U48" s="2">
        <f>IF(T48="","",IF(T48="NO APTO","No cumple uno o más filtros",IF(T48="ALERTA FUERTE","Probabilidad, EV, muestra y score superan filtros","Cumple filtros con confianza media")))</f>
        <v/>
      </c>
    </row>
    <row r="49">
      <c r="A49" s="2">
        <f>IF(C49="","",ROW()-1)</f>
        <v/>
      </c>
      <c r="B49" s="2" t="n"/>
      <c r="C49" s="2" t="n"/>
      <c r="D49" s="2" t="n"/>
      <c r="E49" s="2" t="n"/>
      <c r="F49" s="6" t="n"/>
      <c r="G49" s="2" t="n"/>
      <c r="H49" s="7" t="n"/>
      <c r="I49" s="7" t="n"/>
      <c r="J49" s="7" t="n"/>
      <c r="K49" s="7" t="n"/>
      <c r="L49" s="7" t="n"/>
      <c r="M49" s="7" t="n"/>
      <c r="N49" s="7" t="n"/>
      <c r="O49" s="7">
        <f>IF(C49="","",MAX(0.05,MIN(0.95,0.20*H49+0.15*I49+0.15*J49+0.25*K49+0.10*L49+0.05*M49+0.10*N49)))</f>
        <v/>
      </c>
      <c r="P49" s="7">
        <f>IFERROR(1/F49,"")</f>
        <v/>
      </c>
      <c r="Q49" s="7">
        <f>IF(OR(O49="",P49=""),"",O49-P49)</f>
        <v/>
      </c>
      <c r="R49" s="7">
        <f>IF(OR(O49="",F49=""),"",O49*F49-1)</f>
        <v/>
      </c>
      <c r="S49" s="2">
        <f>IF(C49="","",ROUND(100*(0.20*H49+0.15*I49+0.15*J49+0.25*K49+0.10*L49+0.05*M49+0.10*N49),0))</f>
        <v/>
      </c>
      <c r="T49" s="2">
        <f>IF(C49="","",IF(OR(F49&lt;PARAMETROS!$B$12,F49&gt;PARAMETROS!$B$13,G49&lt;PARAMETROS!$B$11),"NO APTO",IF(O49&lt;IF(F49&lt;1.6,CONFIG!$B$4,IF(F49&lt;1.7,CONFIG!$B$5,IF(F49&lt;1.8,CONFIG!$B$6,IF(F49&lt;2,CONFIG!$B$7,IF(F49&lt;2.2,CONFIG!$B$8,CONFIG!$B$9))))),"NO APTO",IF(R49&lt;PARAMETROS!$B$14,"NO APTO",IF(S49&gt;=PARAMETROS!$B$10,"ALERTA FUERTE",IF(S49&gt;=PARAMETROS!$B$9,"ALERTA MEDIA","NO APTO"))))))</f>
        <v/>
      </c>
      <c r="U49" s="2">
        <f>IF(T49="","",IF(T49="NO APTO","No cumple uno o más filtros",IF(T49="ALERTA FUERTE","Probabilidad, EV, muestra y score superan filtros","Cumple filtros con confianza media")))</f>
        <v/>
      </c>
    </row>
    <row r="50">
      <c r="A50" s="2">
        <f>IF(C50="","",ROW()-1)</f>
        <v/>
      </c>
      <c r="B50" s="2" t="n"/>
      <c r="C50" s="2" t="n"/>
      <c r="D50" s="2" t="n"/>
      <c r="E50" s="2" t="n"/>
      <c r="F50" s="6" t="n"/>
      <c r="G50" s="2" t="n"/>
      <c r="H50" s="7" t="n"/>
      <c r="I50" s="7" t="n"/>
      <c r="J50" s="7" t="n"/>
      <c r="K50" s="7" t="n"/>
      <c r="L50" s="7" t="n"/>
      <c r="M50" s="7" t="n"/>
      <c r="N50" s="7" t="n"/>
      <c r="O50" s="7">
        <f>IF(C50="","",MAX(0.05,MIN(0.95,0.20*H50+0.15*I50+0.15*J50+0.25*K50+0.10*L50+0.05*M50+0.10*N50)))</f>
        <v/>
      </c>
      <c r="P50" s="7">
        <f>IFERROR(1/F50,"")</f>
        <v/>
      </c>
      <c r="Q50" s="7">
        <f>IF(OR(O50="",P50=""),"",O50-P50)</f>
        <v/>
      </c>
      <c r="R50" s="7">
        <f>IF(OR(O50="",F50=""),"",O50*F50-1)</f>
        <v/>
      </c>
      <c r="S50" s="2">
        <f>IF(C50="","",ROUND(100*(0.20*H50+0.15*I50+0.15*J50+0.25*K50+0.10*L50+0.05*M50+0.10*N50),0))</f>
        <v/>
      </c>
      <c r="T50" s="2">
        <f>IF(C50="","",IF(OR(F50&lt;PARAMETROS!$B$12,F50&gt;PARAMETROS!$B$13,G50&lt;PARAMETROS!$B$11),"NO APTO",IF(O50&lt;IF(F50&lt;1.6,CONFIG!$B$4,IF(F50&lt;1.7,CONFIG!$B$5,IF(F50&lt;1.8,CONFIG!$B$6,IF(F50&lt;2,CONFIG!$B$7,IF(F50&lt;2.2,CONFIG!$B$8,CONFIG!$B$9))))),"NO APTO",IF(R50&lt;PARAMETROS!$B$14,"NO APTO",IF(S50&gt;=PARAMETROS!$B$10,"ALERTA FUERTE",IF(S50&gt;=PARAMETROS!$B$9,"ALERTA MEDIA","NO APTO"))))))</f>
        <v/>
      </c>
      <c r="U50" s="2">
        <f>IF(T50="","",IF(T50="NO APTO","No cumple uno o más filtros",IF(T50="ALERTA FUERTE","Probabilidad, EV, muestra y score superan filtros","Cumple filtros con confianza media")))</f>
        <v/>
      </c>
    </row>
    <row r="51">
      <c r="A51" s="2">
        <f>IF(C51="","",ROW()-1)</f>
        <v/>
      </c>
      <c r="B51" s="2" t="n"/>
      <c r="C51" s="2" t="n"/>
      <c r="D51" s="2" t="n"/>
      <c r="E51" s="2" t="n"/>
      <c r="F51" s="6" t="n"/>
      <c r="G51" s="2" t="n"/>
      <c r="H51" s="7" t="n"/>
      <c r="I51" s="7" t="n"/>
      <c r="J51" s="7" t="n"/>
      <c r="K51" s="7" t="n"/>
      <c r="L51" s="7" t="n"/>
      <c r="M51" s="7" t="n"/>
      <c r="N51" s="7" t="n"/>
      <c r="O51" s="7">
        <f>IF(C51="","",MAX(0.05,MIN(0.95,0.20*H51+0.15*I51+0.15*J51+0.25*K51+0.10*L51+0.05*M51+0.10*N51)))</f>
        <v/>
      </c>
      <c r="P51" s="7">
        <f>IFERROR(1/F51,"")</f>
        <v/>
      </c>
      <c r="Q51" s="7">
        <f>IF(OR(O51="",P51=""),"",O51-P51)</f>
        <v/>
      </c>
      <c r="R51" s="7">
        <f>IF(OR(O51="",F51=""),"",O51*F51-1)</f>
        <v/>
      </c>
      <c r="S51" s="2">
        <f>IF(C51="","",ROUND(100*(0.20*H51+0.15*I51+0.15*J51+0.25*K51+0.10*L51+0.05*M51+0.10*N51),0))</f>
        <v/>
      </c>
      <c r="T51" s="2">
        <f>IF(C51="","",IF(OR(F51&lt;PARAMETROS!$B$12,F51&gt;PARAMETROS!$B$13,G51&lt;PARAMETROS!$B$11),"NO APTO",IF(O51&lt;IF(F51&lt;1.6,CONFIG!$B$4,IF(F51&lt;1.7,CONFIG!$B$5,IF(F51&lt;1.8,CONFIG!$B$6,IF(F51&lt;2,CONFIG!$B$7,IF(F51&lt;2.2,CONFIG!$B$8,CONFIG!$B$9))))),"NO APTO",IF(R51&lt;PARAMETROS!$B$14,"NO APTO",IF(S51&gt;=PARAMETROS!$B$10,"ALERTA FUERTE",IF(S51&gt;=PARAMETROS!$B$9,"ALERTA MEDIA","NO APTO"))))))</f>
        <v/>
      </c>
      <c r="U51" s="2">
        <f>IF(T51="","",IF(T51="NO APTO","No cumple uno o más filtros",IF(T51="ALERTA FUERTE","Probabilidad, EV, muestra y score superan filtros","Cumple filtros con confianza media")))</f>
        <v/>
      </c>
    </row>
    <row r="52">
      <c r="A52" s="2">
        <f>IF(C52="","",ROW()-1)</f>
        <v/>
      </c>
      <c r="B52" s="2" t="n"/>
      <c r="C52" s="2" t="n"/>
      <c r="D52" s="2" t="n"/>
      <c r="E52" s="2" t="n"/>
      <c r="F52" s="6" t="n"/>
      <c r="G52" s="2" t="n"/>
      <c r="H52" s="7" t="n"/>
      <c r="I52" s="7" t="n"/>
      <c r="J52" s="7" t="n"/>
      <c r="K52" s="7" t="n"/>
      <c r="L52" s="7" t="n"/>
      <c r="M52" s="7" t="n"/>
      <c r="N52" s="7" t="n"/>
      <c r="O52" s="7">
        <f>IF(C52="","",MAX(0.05,MIN(0.95,0.20*H52+0.15*I52+0.15*J52+0.25*K52+0.10*L52+0.05*M52+0.10*N52)))</f>
        <v/>
      </c>
      <c r="P52" s="7">
        <f>IFERROR(1/F52,"")</f>
        <v/>
      </c>
      <c r="Q52" s="7">
        <f>IF(OR(O52="",P52=""),"",O52-P52)</f>
        <v/>
      </c>
      <c r="R52" s="7">
        <f>IF(OR(O52="",F52=""),"",O52*F52-1)</f>
        <v/>
      </c>
      <c r="S52" s="2">
        <f>IF(C52="","",ROUND(100*(0.20*H52+0.15*I52+0.15*J52+0.25*K52+0.10*L52+0.05*M52+0.10*N52),0))</f>
        <v/>
      </c>
      <c r="T52" s="2">
        <f>IF(C52="","",IF(OR(F52&lt;PARAMETROS!$B$12,F52&gt;PARAMETROS!$B$13,G52&lt;PARAMETROS!$B$11),"NO APTO",IF(O52&lt;IF(F52&lt;1.6,CONFIG!$B$4,IF(F52&lt;1.7,CONFIG!$B$5,IF(F52&lt;1.8,CONFIG!$B$6,IF(F52&lt;2,CONFIG!$B$7,IF(F52&lt;2.2,CONFIG!$B$8,CONFIG!$B$9))))),"NO APTO",IF(R52&lt;PARAMETROS!$B$14,"NO APTO",IF(S52&gt;=PARAMETROS!$B$10,"ALERTA FUERTE",IF(S52&gt;=PARAMETROS!$B$9,"ALERTA MEDIA","NO APTO"))))))</f>
        <v/>
      </c>
      <c r="U52" s="2">
        <f>IF(T52="","",IF(T52="NO APTO","No cumple uno o más filtros",IF(T52="ALERTA FUERTE","Probabilidad, EV, muestra y score superan filtros","Cumple filtros con confianza media")))</f>
        <v/>
      </c>
    </row>
    <row r="53">
      <c r="A53" s="2">
        <f>IF(C53="","",ROW()-1)</f>
        <v/>
      </c>
      <c r="B53" s="2" t="n"/>
      <c r="C53" s="2" t="n"/>
      <c r="D53" s="2" t="n"/>
      <c r="E53" s="2" t="n"/>
      <c r="F53" s="6" t="n"/>
      <c r="G53" s="2" t="n"/>
      <c r="H53" s="7" t="n"/>
      <c r="I53" s="7" t="n"/>
      <c r="J53" s="7" t="n"/>
      <c r="K53" s="7" t="n"/>
      <c r="L53" s="7" t="n"/>
      <c r="M53" s="7" t="n"/>
      <c r="N53" s="7" t="n"/>
      <c r="O53" s="7">
        <f>IF(C53="","",MAX(0.05,MIN(0.95,0.20*H53+0.15*I53+0.15*J53+0.25*K53+0.10*L53+0.05*M53+0.10*N53)))</f>
        <v/>
      </c>
      <c r="P53" s="7">
        <f>IFERROR(1/F53,"")</f>
        <v/>
      </c>
      <c r="Q53" s="7">
        <f>IF(OR(O53="",P53=""),"",O53-P53)</f>
        <v/>
      </c>
      <c r="R53" s="7">
        <f>IF(OR(O53="",F53=""),"",O53*F53-1)</f>
        <v/>
      </c>
      <c r="S53" s="2">
        <f>IF(C53="","",ROUND(100*(0.20*H53+0.15*I53+0.15*J53+0.25*K53+0.10*L53+0.05*M53+0.10*N53),0))</f>
        <v/>
      </c>
      <c r="T53" s="2">
        <f>IF(C53="","",IF(OR(F53&lt;PARAMETROS!$B$12,F53&gt;PARAMETROS!$B$13,G53&lt;PARAMETROS!$B$11),"NO APTO",IF(O53&lt;IF(F53&lt;1.6,CONFIG!$B$4,IF(F53&lt;1.7,CONFIG!$B$5,IF(F53&lt;1.8,CONFIG!$B$6,IF(F53&lt;2,CONFIG!$B$7,IF(F53&lt;2.2,CONFIG!$B$8,CONFIG!$B$9))))),"NO APTO",IF(R53&lt;PARAMETROS!$B$14,"NO APTO",IF(S53&gt;=PARAMETROS!$B$10,"ALERTA FUERTE",IF(S53&gt;=PARAMETROS!$B$9,"ALERTA MEDIA","NO APTO"))))))</f>
        <v/>
      </c>
      <c r="U53" s="2">
        <f>IF(T53="","",IF(T53="NO APTO","No cumple uno o más filtros",IF(T53="ALERTA FUERTE","Probabilidad, EV, muestra y score superan filtros","Cumple filtros con confianza media")))</f>
        <v/>
      </c>
    </row>
    <row r="54">
      <c r="A54" s="2">
        <f>IF(C54="","",ROW()-1)</f>
        <v/>
      </c>
      <c r="B54" s="2" t="n"/>
      <c r="C54" s="2" t="n"/>
      <c r="D54" s="2" t="n"/>
      <c r="E54" s="2" t="n"/>
      <c r="F54" s="6" t="n"/>
      <c r="G54" s="2" t="n"/>
      <c r="H54" s="7" t="n"/>
      <c r="I54" s="7" t="n"/>
      <c r="J54" s="7" t="n"/>
      <c r="K54" s="7" t="n"/>
      <c r="L54" s="7" t="n"/>
      <c r="M54" s="7" t="n"/>
      <c r="N54" s="7" t="n"/>
      <c r="O54" s="7">
        <f>IF(C54="","",MAX(0.05,MIN(0.95,0.20*H54+0.15*I54+0.15*J54+0.25*K54+0.10*L54+0.05*M54+0.10*N54)))</f>
        <v/>
      </c>
      <c r="P54" s="7">
        <f>IFERROR(1/F54,"")</f>
        <v/>
      </c>
      <c r="Q54" s="7">
        <f>IF(OR(O54="",P54=""),"",O54-P54)</f>
        <v/>
      </c>
      <c r="R54" s="7">
        <f>IF(OR(O54="",F54=""),"",O54*F54-1)</f>
        <v/>
      </c>
      <c r="S54" s="2">
        <f>IF(C54="","",ROUND(100*(0.20*H54+0.15*I54+0.15*J54+0.25*K54+0.10*L54+0.05*M54+0.10*N54),0))</f>
        <v/>
      </c>
      <c r="T54" s="2">
        <f>IF(C54="","",IF(OR(F54&lt;PARAMETROS!$B$12,F54&gt;PARAMETROS!$B$13,G54&lt;PARAMETROS!$B$11),"NO APTO",IF(O54&lt;IF(F54&lt;1.6,CONFIG!$B$4,IF(F54&lt;1.7,CONFIG!$B$5,IF(F54&lt;1.8,CONFIG!$B$6,IF(F54&lt;2,CONFIG!$B$7,IF(F54&lt;2.2,CONFIG!$B$8,CONFIG!$B$9))))),"NO APTO",IF(R54&lt;PARAMETROS!$B$14,"NO APTO",IF(S54&gt;=PARAMETROS!$B$10,"ALERTA FUERTE",IF(S54&gt;=PARAMETROS!$B$9,"ALERTA MEDIA","NO APTO"))))))</f>
        <v/>
      </c>
      <c r="U54" s="2">
        <f>IF(T54="","",IF(T54="NO APTO","No cumple uno o más filtros",IF(T54="ALERTA FUERTE","Probabilidad, EV, muestra y score superan filtros","Cumple filtros con confianza media")))</f>
        <v/>
      </c>
    </row>
    <row r="55">
      <c r="A55" s="2">
        <f>IF(C55="","",ROW()-1)</f>
        <v/>
      </c>
      <c r="B55" s="2" t="n"/>
      <c r="C55" s="2" t="n"/>
      <c r="D55" s="2" t="n"/>
      <c r="E55" s="2" t="n"/>
      <c r="F55" s="6" t="n"/>
      <c r="G55" s="2" t="n"/>
      <c r="H55" s="7" t="n"/>
      <c r="I55" s="7" t="n"/>
      <c r="J55" s="7" t="n"/>
      <c r="K55" s="7" t="n"/>
      <c r="L55" s="7" t="n"/>
      <c r="M55" s="7" t="n"/>
      <c r="N55" s="7" t="n"/>
      <c r="O55" s="7">
        <f>IF(C55="","",MAX(0.05,MIN(0.95,0.20*H55+0.15*I55+0.15*J55+0.25*K55+0.10*L55+0.05*M55+0.10*N55)))</f>
        <v/>
      </c>
      <c r="P55" s="7">
        <f>IFERROR(1/F55,"")</f>
        <v/>
      </c>
      <c r="Q55" s="7">
        <f>IF(OR(O55="",P55=""),"",O55-P55)</f>
        <v/>
      </c>
      <c r="R55" s="7">
        <f>IF(OR(O55="",F55=""),"",O55*F55-1)</f>
        <v/>
      </c>
      <c r="S55" s="2">
        <f>IF(C55="","",ROUND(100*(0.20*H55+0.15*I55+0.15*J55+0.25*K55+0.10*L55+0.05*M55+0.10*N55),0))</f>
        <v/>
      </c>
      <c r="T55" s="2">
        <f>IF(C55="","",IF(OR(F55&lt;PARAMETROS!$B$12,F55&gt;PARAMETROS!$B$13,G55&lt;PARAMETROS!$B$11),"NO APTO",IF(O55&lt;IF(F55&lt;1.6,CONFIG!$B$4,IF(F55&lt;1.7,CONFIG!$B$5,IF(F55&lt;1.8,CONFIG!$B$6,IF(F55&lt;2,CONFIG!$B$7,IF(F55&lt;2.2,CONFIG!$B$8,CONFIG!$B$9))))),"NO APTO",IF(R55&lt;PARAMETROS!$B$14,"NO APTO",IF(S55&gt;=PARAMETROS!$B$10,"ALERTA FUERTE",IF(S55&gt;=PARAMETROS!$B$9,"ALERTA MEDIA","NO APTO"))))))</f>
        <v/>
      </c>
      <c r="U55" s="2">
        <f>IF(T55="","",IF(T55="NO APTO","No cumple uno o más filtros",IF(T55="ALERTA FUERTE","Probabilidad, EV, muestra y score superan filtros","Cumple filtros con confianza media")))</f>
        <v/>
      </c>
    </row>
    <row r="56">
      <c r="A56" s="2">
        <f>IF(C56="","",ROW()-1)</f>
        <v/>
      </c>
      <c r="B56" s="2" t="n"/>
      <c r="C56" s="2" t="n"/>
      <c r="D56" s="2" t="n"/>
      <c r="E56" s="2" t="n"/>
      <c r="F56" s="6" t="n"/>
      <c r="G56" s="2" t="n"/>
      <c r="H56" s="7" t="n"/>
      <c r="I56" s="7" t="n"/>
      <c r="J56" s="7" t="n"/>
      <c r="K56" s="7" t="n"/>
      <c r="L56" s="7" t="n"/>
      <c r="M56" s="7" t="n"/>
      <c r="N56" s="7" t="n"/>
      <c r="O56" s="7">
        <f>IF(C56="","",MAX(0.05,MIN(0.95,0.20*H56+0.15*I56+0.15*J56+0.25*K56+0.10*L56+0.05*M56+0.10*N56)))</f>
        <v/>
      </c>
      <c r="P56" s="7">
        <f>IFERROR(1/F56,"")</f>
        <v/>
      </c>
      <c r="Q56" s="7">
        <f>IF(OR(O56="",P56=""),"",O56-P56)</f>
        <v/>
      </c>
      <c r="R56" s="7">
        <f>IF(OR(O56="",F56=""),"",O56*F56-1)</f>
        <v/>
      </c>
      <c r="S56" s="2">
        <f>IF(C56="","",ROUND(100*(0.20*H56+0.15*I56+0.15*J56+0.25*K56+0.10*L56+0.05*M56+0.10*N56),0))</f>
        <v/>
      </c>
      <c r="T56" s="2">
        <f>IF(C56="","",IF(OR(F56&lt;PARAMETROS!$B$12,F56&gt;PARAMETROS!$B$13,G56&lt;PARAMETROS!$B$11),"NO APTO",IF(O56&lt;IF(F56&lt;1.6,CONFIG!$B$4,IF(F56&lt;1.7,CONFIG!$B$5,IF(F56&lt;1.8,CONFIG!$B$6,IF(F56&lt;2,CONFIG!$B$7,IF(F56&lt;2.2,CONFIG!$B$8,CONFIG!$B$9))))),"NO APTO",IF(R56&lt;PARAMETROS!$B$14,"NO APTO",IF(S56&gt;=PARAMETROS!$B$10,"ALERTA FUERTE",IF(S56&gt;=PARAMETROS!$B$9,"ALERTA MEDIA","NO APTO"))))))</f>
        <v/>
      </c>
      <c r="U56" s="2">
        <f>IF(T56="","",IF(T56="NO APTO","No cumple uno o más filtros",IF(T56="ALERTA FUERTE","Probabilidad, EV, muestra y score superan filtros","Cumple filtros con confianza media")))</f>
        <v/>
      </c>
    </row>
    <row r="57">
      <c r="A57" s="2">
        <f>IF(C57="","",ROW()-1)</f>
        <v/>
      </c>
      <c r="B57" s="2" t="n"/>
      <c r="C57" s="2" t="n"/>
      <c r="D57" s="2" t="n"/>
      <c r="E57" s="2" t="n"/>
      <c r="F57" s="6" t="n"/>
      <c r="G57" s="2" t="n"/>
      <c r="H57" s="7" t="n"/>
      <c r="I57" s="7" t="n"/>
      <c r="J57" s="7" t="n"/>
      <c r="K57" s="7" t="n"/>
      <c r="L57" s="7" t="n"/>
      <c r="M57" s="7" t="n"/>
      <c r="N57" s="7" t="n"/>
      <c r="O57" s="7">
        <f>IF(C57="","",MAX(0.05,MIN(0.95,0.20*H57+0.15*I57+0.15*J57+0.25*K57+0.10*L57+0.05*M57+0.10*N57)))</f>
        <v/>
      </c>
      <c r="P57" s="7">
        <f>IFERROR(1/F57,"")</f>
        <v/>
      </c>
      <c r="Q57" s="7">
        <f>IF(OR(O57="",P57=""),"",O57-P57)</f>
        <v/>
      </c>
      <c r="R57" s="7">
        <f>IF(OR(O57="",F57=""),"",O57*F57-1)</f>
        <v/>
      </c>
      <c r="S57" s="2">
        <f>IF(C57="","",ROUND(100*(0.20*H57+0.15*I57+0.15*J57+0.25*K57+0.10*L57+0.05*M57+0.10*N57),0))</f>
        <v/>
      </c>
      <c r="T57" s="2">
        <f>IF(C57="","",IF(OR(F57&lt;PARAMETROS!$B$12,F57&gt;PARAMETROS!$B$13,G57&lt;PARAMETROS!$B$11),"NO APTO",IF(O57&lt;IF(F57&lt;1.6,CONFIG!$B$4,IF(F57&lt;1.7,CONFIG!$B$5,IF(F57&lt;1.8,CONFIG!$B$6,IF(F57&lt;2,CONFIG!$B$7,IF(F57&lt;2.2,CONFIG!$B$8,CONFIG!$B$9))))),"NO APTO",IF(R57&lt;PARAMETROS!$B$14,"NO APTO",IF(S57&gt;=PARAMETROS!$B$10,"ALERTA FUERTE",IF(S57&gt;=PARAMETROS!$B$9,"ALERTA MEDIA","NO APTO"))))))</f>
        <v/>
      </c>
      <c r="U57" s="2">
        <f>IF(T57="","",IF(T57="NO APTO","No cumple uno o más filtros",IF(T57="ALERTA FUERTE","Probabilidad, EV, muestra y score superan filtros","Cumple filtros con confianza media")))</f>
        <v/>
      </c>
    </row>
    <row r="58">
      <c r="A58" s="2">
        <f>IF(C58="","",ROW()-1)</f>
        <v/>
      </c>
      <c r="B58" s="2" t="n"/>
      <c r="C58" s="2" t="n"/>
      <c r="D58" s="2" t="n"/>
      <c r="E58" s="2" t="n"/>
      <c r="F58" s="6" t="n"/>
      <c r="G58" s="2" t="n"/>
      <c r="H58" s="7" t="n"/>
      <c r="I58" s="7" t="n"/>
      <c r="J58" s="7" t="n"/>
      <c r="K58" s="7" t="n"/>
      <c r="L58" s="7" t="n"/>
      <c r="M58" s="7" t="n"/>
      <c r="N58" s="7" t="n"/>
      <c r="O58" s="7">
        <f>IF(C58="","",MAX(0.05,MIN(0.95,0.20*H58+0.15*I58+0.15*J58+0.25*K58+0.10*L58+0.05*M58+0.10*N58)))</f>
        <v/>
      </c>
      <c r="P58" s="7">
        <f>IFERROR(1/F58,"")</f>
        <v/>
      </c>
      <c r="Q58" s="7">
        <f>IF(OR(O58="",P58=""),"",O58-P58)</f>
        <v/>
      </c>
      <c r="R58" s="7">
        <f>IF(OR(O58="",F58=""),"",O58*F58-1)</f>
        <v/>
      </c>
      <c r="S58" s="2">
        <f>IF(C58="","",ROUND(100*(0.20*H58+0.15*I58+0.15*J58+0.25*K58+0.10*L58+0.05*M58+0.10*N58),0))</f>
        <v/>
      </c>
      <c r="T58" s="2">
        <f>IF(C58="","",IF(OR(F58&lt;PARAMETROS!$B$12,F58&gt;PARAMETROS!$B$13,G58&lt;PARAMETROS!$B$11),"NO APTO",IF(O58&lt;IF(F58&lt;1.6,CONFIG!$B$4,IF(F58&lt;1.7,CONFIG!$B$5,IF(F58&lt;1.8,CONFIG!$B$6,IF(F58&lt;2,CONFIG!$B$7,IF(F58&lt;2.2,CONFIG!$B$8,CONFIG!$B$9))))),"NO APTO",IF(R58&lt;PARAMETROS!$B$14,"NO APTO",IF(S58&gt;=PARAMETROS!$B$10,"ALERTA FUERTE",IF(S58&gt;=PARAMETROS!$B$9,"ALERTA MEDIA","NO APTO"))))))</f>
        <v/>
      </c>
      <c r="U58" s="2">
        <f>IF(T58="","",IF(T58="NO APTO","No cumple uno o más filtros",IF(T58="ALERTA FUERTE","Probabilidad, EV, muestra y score superan filtros","Cumple filtros con confianza media")))</f>
        <v/>
      </c>
    </row>
    <row r="59">
      <c r="A59" s="2">
        <f>IF(C59="","",ROW()-1)</f>
        <v/>
      </c>
      <c r="B59" s="2" t="n"/>
      <c r="C59" s="2" t="n"/>
      <c r="D59" s="2" t="n"/>
      <c r="E59" s="2" t="n"/>
      <c r="F59" s="6" t="n"/>
      <c r="G59" s="2" t="n"/>
      <c r="H59" s="7" t="n"/>
      <c r="I59" s="7" t="n"/>
      <c r="J59" s="7" t="n"/>
      <c r="K59" s="7" t="n"/>
      <c r="L59" s="7" t="n"/>
      <c r="M59" s="7" t="n"/>
      <c r="N59" s="7" t="n"/>
      <c r="O59" s="7">
        <f>IF(C59="","",MAX(0.05,MIN(0.95,0.20*H59+0.15*I59+0.15*J59+0.25*K59+0.10*L59+0.05*M59+0.10*N59)))</f>
        <v/>
      </c>
      <c r="P59" s="7">
        <f>IFERROR(1/F59,"")</f>
        <v/>
      </c>
      <c r="Q59" s="7">
        <f>IF(OR(O59="",P59=""),"",O59-P59)</f>
        <v/>
      </c>
      <c r="R59" s="7">
        <f>IF(OR(O59="",F59=""),"",O59*F59-1)</f>
        <v/>
      </c>
      <c r="S59" s="2">
        <f>IF(C59="","",ROUND(100*(0.20*H59+0.15*I59+0.15*J59+0.25*K59+0.10*L59+0.05*M59+0.10*N59),0))</f>
        <v/>
      </c>
      <c r="T59" s="2">
        <f>IF(C59="","",IF(OR(F59&lt;PARAMETROS!$B$12,F59&gt;PARAMETROS!$B$13,G59&lt;PARAMETROS!$B$11),"NO APTO",IF(O59&lt;IF(F59&lt;1.6,CONFIG!$B$4,IF(F59&lt;1.7,CONFIG!$B$5,IF(F59&lt;1.8,CONFIG!$B$6,IF(F59&lt;2,CONFIG!$B$7,IF(F59&lt;2.2,CONFIG!$B$8,CONFIG!$B$9))))),"NO APTO",IF(R59&lt;PARAMETROS!$B$14,"NO APTO",IF(S59&gt;=PARAMETROS!$B$10,"ALERTA FUERTE",IF(S59&gt;=PARAMETROS!$B$9,"ALERTA MEDIA","NO APTO"))))))</f>
        <v/>
      </c>
      <c r="U59" s="2">
        <f>IF(T59="","",IF(T59="NO APTO","No cumple uno o más filtros",IF(T59="ALERTA FUERTE","Probabilidad, EV, muestra y score superan filtros","Cumple filtros con confianza media")))</f>
        <v/>
      </c>
    </row>
    <row r="60">
      <c r="A60" s="2">
        <f>IF(C60="","",ROW()-1)</f>
        <v/>
      </c>
      <c r="B60" s="2" t="n"/>
      <c r="C60" s="2" t="n"/>
      <c r="D60" s="2" t="n"/>
      <c r="E60" s="2" t="n"/>
      <c r="F60" s="6" t="n"/>
      <c r="G60" s="2" t="n"/>
      <c r="H60" s="7" t="n"/>
      <c r="I60" s="7" t="n"/>
      <c r="J60" s="7" t="n"/>
      <c r="K60" s="7" t="n"/>
      <c r="L60" s="7" t="n"/>
      <c r="M60" s="7" t="n"/>
      <c r="N60" s="7" t="n"/>
      <c r="O60" s="7">
        <f>IF(C60="","",MAX(0.05,MIN(0.95,0.20*H60+0.15*I60+0.15*J60+0.25*K60+0.10*L60+0.05*M60+0.10*N60)))</f>
        <v/>
      </c>
      <c r="P60" s="7">
        <f>IFERROR(1/F60,"")</f>
        <v/>
      </c>
      <c r="Q60" s="7">
        <f>IF(OR(O60="",P60=""),"",O60-P60)</f>
        <v/>
      </c>
      <c r="R60" s="7">
        <f>IF(OR(O60="",F60=""),"",O60*F60-1)</f>
        <v/>
      </c>
      <c r="S60" s="2">
        <f>IF(C60="","",ROUND(100*(0.20*H60+0.15*I60+0.15*J60+0.25*K60+0.10*L60+0.05*M60+0.10*N60),0))</f>
        <v/>
      </c>
      <c r="T60" s="2">
        <f>IF(C60="","",IF(OR(F60&lt;PARAMETROS!$B$12,F60&gt;PARAMETROS!$B$13,G60&lt;PARAMETROS!$B$11),"NO APTO",IF(O60&lt;IF(F60&lt;1.6,CONFIG!$B$4,IF(F60&lt;1.7,CONFIG!$B$5,IF(F60&lt;1.8,CONFIG!$B$6,IF(F60&lt;2,CONFIG!$B$7,IF(F60&lt;2.2,CONFIG!$B$8,CONFIG!$B$9))))),"NO APTO",IF(R60&lt;PARAMETROS!$B$14,"NO APTO",IF(S60&gt;=PARAMETROS!$B$10,"ALERTA FUERTE",IF(S60&gt;=PARAMETROS!$B$9,"ALERTA MEDIA","NO APTO"))))))</f>
        <v/>
      </c>
      <c r="U60" s="2">
        <f>IF(T60="","",IF(T60="NO APTO","No cumple uno o más filtros",IF(T60="ALERTA FUERTE","Probabilidad, EV, muestra y score superan filtros","Cumple filtros con confianza media")))</f>
        <v/>
      </c>
    </row>
    <row r="61">
      <c r="A61" s="2">
        <f>IF(C61="","",ROW()-1)</f>
        <v/>
      </c>
      <c r="B61" s="2" t="n"/>
      <c r="C61" s="2" t="n"/>
      <c r="D61" s="2" t="n"/>
      <c r="E61" s="2" t="n"/>
      <c r="F61" s="6" t="n"/>
      <c r="G61" s="2" t="n"/>
      <c r="H61" s="7" t="n"/>
      <c r="I61" s="7" t="n"/>
      <c r="J61" s="7" t="n"/>
      <c r="K61" s="7" t="n"/>
      <c r="L61" s="7" t="n"/>
      <c r="M61" s="7" t="n"/>
      <c r="N61" s="7" t="n"/>
      <c r="O61" s="7">
        <f>IF(C61="","",MAX(0.05,MIN(0.95,0.20*H61+0.15*I61+0.15*J61+0.25*K61+0.10*L61+0.05*M61+0.10*N61)))</f>
        <v/>
      </c>
      <c r="P61" s="7">
        <f>IFERROR(1/F61,"")</f>
        <v/>
      </c>
      <c r="Q61" s="7">
        <f>IF(OR(O61="",P61=""),"",O61-P61)</f>
        <v/>
      </c>
      <c r="R61" s="7">
        <f>IF(OR(O61="",F61=""),"",O61*F61-1)</f>
        <v/>
      </c>
      <c r="S61" s="2">
        <f>IF(C61="","",ROUND(100*(0.20*H61+0.15*I61+0.15*J61+0.25*K61+0.10*L61+0.05*M61+0.10*N61),0))</f>
        <v/>
      </c>
      <c r="T61" s="2">
        <f>IF(C61="","",IF(OR(F61&lt;PARAMETROS!$B$12,F61&gt;PARAMETROS!$B$13,G61&lt;PARAMETROS!$B$11),"NO APTO",IF(O61&lt;IF(F61&lt;1.6,CONFIG!$B$4,IF(F61&lt;1.7,CONFIG!$B$5,IF(F61&lt;1.8,CONFIG!$B$6,IF(F61&lt;2,CONFIG!$B$7,IF(F61&lt;2.2,CONFIG!$B$8,CONFIG!$B$9))))),"NO APTO",IF(R61&lt;PARAMETROS!$B$14,"NO APTO",IF(S61&gt;=PARAMETROS!$B$10,"ALERTA FUERTE",IF(S61&gt;=PARAMETROS!$B$9,"ALERTA MEDIA","NO APTO"))))))</f>
        <v/>
      </c>
      <c r="U61" s="2">
        <f>IF(T61="","",IF(T61="NO APTO","No cumple uno o más filtros",IF(T61="ALERTA FUERTE","Probabilidad, EV, muestra y score superan filtros","Cumple filtros con confianza media")))</f>
        <v/>
      </c>
    </row>
    <row r="62">
      <c r="A62" s="2">
        <f>IF(C62="","",ROW()-1)</f>
        <v/>
      </c>
      <c r="B62" s="2" t="n"/>
      <c r="C62" s="2" t="n"/>
      <c r="D62" s="2" t="n"/>
      <c r="E62" s="2" t="n"/>
      <c r="F62" s="6" t="n"/>
      <c r="G62" s="2" t="n"/>
      <c r="H62" s="7" t="n"/>
      <c r="I62" s="7" t="n"/>
      <c r="J62" s="7" t="n"/>
      <c r="K62" s="7" t="n"/>
      <c r="L62" s="7" t="n"/>
      <c r="M62" s="7" t="n"/>
      <c r="N62" s="7" t="n"/>
      <c r="O62" s="7">
        <f>IF(C62="","",MAX(0.05,MIN(0.95,0.20*H62+0.15*I62+0.15*J62+0.25*K62+0.10*L62+0.05*M62+0.10*N62)))</f>
        <v/>
      </c>
      <c r="P62" s="7">
        <f>IFERROR(1/F62,"")</f>
        <v/>
      </c>
      <c r="Q62" s="7">
        <f>IF(OR(O62="",P62=""),"",O62-P62)</f>
        <v/>
      </c>
      <c r="R62" s="7">
        <f>IF(OR(O62="",F62=""),"",O62*F62-1)</f>
        <v/>
      </c>
      <c r="S62" s="2">
        <f>IF(C62="","",ROUND(100*(0.20*H62+0.15*I62+0.15*J62+0.25*K62+0.10*L62+0.05*M62+0.10*N62),0))</f>
        <v/>
      </c>
      <c r="T62" s="2">
        <f>IF(C62="","",IF(OR(F62&lt;PARAMETROS!$B$12,F62&gt;PARAMETROS!$B$13,G62&lt;PARAMETROS!$B$11),"NO APTO",IF(O62&lt;IF(F62&lt;1.6,CONFIG!$B$4,IF(F62&lt;1.7,CONFIG!$B$5,IF(F62&lt;1.8,CONFIG!$B$6,IF(F62&lt;2,CONFIG!$B$7,IF(F62&lt;2.2,CONFIG!$B$8,CONFIG!$B$9))))),"NO APTO",IF(R62&lt;PARAMETROS!$B$14,"NO APTO",IF(S62&gt;=PARAMETROS!$B$10,"ALERTA FUERTE",IF(S62&gt;=PARAMETROS!$B$9,"ALERTA MEDIA","NO APTO"))))))</f>
        <v/>
      </c>
      <c r="U62" s="2">
        <f>IF(T62="","",IF(T62="NO APTO","No cumple uno o más filtros",IF(T62="ALERTA FUERTE","Probabilidad, EV, muestra y score superan filtros","Cumple filtros con confianza media")))</f>
        <v/>
      </c>
    </row>
    <row r="63">
      <c r="A63" s="2">
        <f>IF(C63="","",ROW()-1)</f>
        <v/>
      </c>
      <c r="B63" s="2" t="n"/>
      <c r="C63" s="2" t="n"/>
      <c r="D63" s="2" t="n"/>
      <c r="E63" s="2" t="n"/>
      <c r="F63" s="6" t="n"/>
      <c r="G63" s="2" t="n"/>
      <c r="H63" s="7" t="n"/>
      <c r="I63" s="7" t="n"/>
      <c r="J63" s="7" t="n"/>
      <c r="K63" s="7" t="n"/>
      <c r="L63" s="7" t="n"/>
      <c r="M63" s="7" t="n"/>
      <c r="N63" s="7" t="n"/>
      <c r="O63" s="7">
        <f>IF(C63="","",MAX(0.05,MIN(0.95,0.20*H63+0.15*I63+0.15*J63+0.25*K63+0.10*L63+0.05*M63+0.10*N63)))</f>
        <v/>
      </c>
      <c r="P63" s="7">
        <f>IFERROR(1/F63,"")</f>
        <v/>
      </c>
      <c r="Q63" s="7">
        <f>IF(OR(O63="",P63=""),"",O63-P63)</f>
        <v/>
      </c>
      <c r="R63" s="7">
        <f>IF(OR(O63="",F63=""),"",O63*F63-1)</f>
        <v/>
      </c>
      <c r="S63" s="2">
        <f>IF(C63="","",ROUND(100*(0.20*H63+0.15*I63+0.15*J63+0.25*K63+0.10*L63+0.05*M63+0.10*N63),0))</f>
        <v/>
      </c>
      <c r="T63" s="2">
        <f>IF(C63="","",IF(OR(F63&lt;PARAMETROS!$B$12,F63&gt;PARAMETROS!$B$13,G63&lt;PARAMETROS!$B$11),"NO APTO",IF(O63&lt;IF(F63&lt;1.6,CONFIG!$B$4,IF(F63&lt;1.7,CONFIG!$B$5,IF(F63&lt;1.8,CONFIG!$B$6,IF(F63&lt;2,CONFIG!$B$7,IF(F63&lt;2.2,CONFIG!$B$8,CONFIG!$B$9))))),"NO APTO",IF(R63&lt;PARAMETROS!$B$14,"NO APTO",IF(S63&gt;=PARAMETROS!$B$10,"ALERTA FUERTE",IF(S63&gt;=PARAMETROS!$B$9,"ALERTA MEDIA","NO APTO"))))))</f>
        <v/>
      </c>
      <c r="U63" s="2">
        <f>IF(T63="","",IF(T63="NO APTO","No cumple uno o más filtros",IF(T63="ALERTA FUERTE","Probabilidad, EV, muestra y score superan filtros","Cumple filtros con confianza media")))</f>
        <v/>
      </c>
    </row>
    <row r="64">
      <c r="A64" s="2">
        <f>IF(C64="","",ROW()-1)</f>
        <v/>
      </c>
      <c r="B64" s="2" t="n"/>
      <c r="C64" s="2" t="n"/>
      <c r="D64" s="2" t="n"/>
      <c r="E64" s="2" t="n"/>
      <c r="F64" s="6" t="n"/>
      <c r="G64" s="2" t="n"/>
      <c r="H64" s="7" t="n"/>
      <c r="I64" s="7" t="n"/>
      <c r="J64" s="7" t="n"/>
      <c r="K64" s="7" t="n"/>
      <c r="L64" s="7" t="n"/>
      <c r="M64" s="7" t="n"/>
      <c r="N64" s="7" t="n"/>
      <c r="O64" s="7">
        <f>IF(C64="","",MAX(0.05,MIN(0.95,0.20*H64+0.15*I64+0.15*J64+0.25*K64+0.10*L64+0.05*M64+0.10*N64)))</f>
        <v/>
      </c>
      <c r="P64" s="7">
        <f>IFERROR(1/F64,"")</f>
        <v/>
      </c>
      <c r="Q64" s="7">
        <f>IF(OR(O64="",P64=""),"",O64-P64)</f>
        <v/>
      </c>
      <c r="R64" s="7">
        <f>IF(OR(O64="",F64=""),"",O64*F64-1)</f>
        <v/>
      </c>
      <c r="S64" s="2">
        <f>IF(C64="","",ROUND(100*(0.20*H64+0.15*I64+0.15*J64+0.25*K64+0.10*L64+0.05*M64+0.10*N64),0))</f>
        <v/>
      </c>
      <c r="T64" s="2">
        <f>IF(C64="","",IF(OR(F64&lt;PARAMETROS!$B$12,F64&gt;PARAMETROS!$B$13,G64&lt;PARAMETROS!$B$11),"NO APTO",IF(O64&lt;IF(F64&lt;1.6,CONFIG!$B$4,IF(F64&lt;1.7,CONFIG!$B$5,IF(F64&lt;1.8,CONFIG!$B$6,IF(F64&lt;2,CONFIG!$B$7,IF(F64&lt;2.2,CONFIG!$B$8,CONFIG!$B$9))))),"NO APTO",IF(R64&lt;PARAMETROS!$B$14,"NO APTO",IF(S64&gt;=PARAMETROS!$B$10,"ALERTA FUERTE",IF(S64&gt;=PARAMETROS!$B$9,"ALERTA MEDIA","NO APTO"))))))</f>
        <v/>
      </c>
      <c r="U64" s="2">
        <f>IF(T64="","",IF(T64="NO APTO","No cumple uno o más filtros",IF(T64="ALERTA FUERTE","Probabilidad, EV, muestra y score superan filtros","Cumple filtros con confianza media")))</f>
        <v/>
      </c>
    </row>
    <row r="65">
      <c r="A65" s="2">
        <f>IF(C65="","",ROW()-1)</f>
        <v/>
      </c>
      <c r="B65" s="2" t="n"/>
      <c r="C65" s="2" t="n"/>
      <c r="D65" s="2" t="n"/>
      <c r="E65" s="2" t="n"/>
      <c r="F65" s="6" t="n"/>
      <c r="G65" s="2" t="n"/>
      <c r="H65" s="7" t="n"/>
      <c r="I65" s="7" t="n"/>
      <c r="J65" s="7" t="n"/>
      <c r="K65" s="7" t="n"/>
      <c r="L65" s="7" t="n"/>
      <c r="M65" s="7" t="n"/>
      <c r="N65" s="7" t="n"/>
      <c r="O65" s="7">
        <f>IF(C65="","",MAX(0.05,MIN(0.95,0.20*H65+0.15*I65+0.15*J65+0.25*K65+0.10*L65+0.05*M65+0.10*N65)))</f>
        <v/>
      </c>
      <c r="P65" s="7">
        <f>IFERROR(1/F65,"")</f>
        <v/>
      </c>
      <c r="Q65" s="7">
        <f>IF(OR(O65="",P65=""),"",O65-P65)</f>
        <v/>
      </c>
      <c r="R65" s="7">
        <f>IF(OR(O65="",F65=""),"",O65*F65-1)</f>
        <v/>
      </c>
      <c r="S65" s="2">
        <f>IF(C65="","",ROUND(100*(0.20*H65+0.15*I65+0.15*J65+0.25*K65+0.10*L65+0.05*M65+0.10*N65),0))</f>
        <v/>
      </c>
      <c r="T65" s="2">
        <f>IF(C65="","",IF(OR(F65&lt;PARAMETROS!$B$12,F65&gt;PARAMETROS!$B$13,G65&lt;PARAMETROS!$B$11),"NO APTO",IF(O65&lt;IF(F65&lt;1.6,CONFIG!$B$4,IF(F65&lt;1.7,CONFIG!$B$5,IF(F65&lt;1.8,CONFIG!$B$6,IF(F65&lt;2,CONFIG!$B$7,IF(F65&lt;2.2,CONFIG!$B$8,CONFIG!$B$9))))),"NO APTO",IF(R65&lt;PARAMETROS!$B$14,"NO APTO",IF(S65&gt;=PARAMETROS!$B$10,"ALERTA FUERTE",IF(S65&gt;=PARAMETROS!$B$9,"ALERTA MEDIA","NO APTO"))))))</f>
        <v/>
      </c>
      <c r="U65" s="2">
        <f>IF(T65="","",IF(T65="NO APTO","No cumple uno o más filtros",IF(T65="ALERTA FUERTE","Probabilidad, EV, muestra y score superan filtros","Cumple filtros con confianza media")))</f>
        <v/>
      </c>
    </row>
    <row r="66">
      <c r="A66" s="2">
        <f>IF(C66="","",ROW()-1)</f>
        <v/>
      </c>
      <c r="B66" s="2" t="n"/>
      <c r="C66" s="2" t="n"/>
      <c r="D66" s="2" t="n"/>
      <c r="E66" s="2" t="n"/>
      <c r="F66" s="6" t="n"/>
      <c r="G66" s="2" t="n"/>
      <c r="H66" s="7" t="n"/>
      <c r="I66" s="7" t="n"/>
      <c r="J66" s="7" t="n"/>
      <c r="K66" s="7" t="n"/>
      <c r="L66" s="7" t="n"/>
      <c r="M66" s="7" t="n"/>
      <c r="N66" s="7" t="n"/>
      <c r="O66" s="7">
        <f>IF(C66="","",MAX(0.05,MIN(0.95,0.20*H66+0.15*I66+0.15*J66+0.25*K66+0.10*L66+0.05*M66+0.10*N66)))</f>
        <v/>
      </c>
      <c r="P66" s="7">
        <f>IFERROR(1/F66,"")</f>
        <v/>
      </c>
      <c r="Q66" s="7">
        <f>IF(OR(O66="",P66=""),"",O66-P66)</f>
        <v/>
      </c>
      <c r="R66" s="7">
        <f>IF(OR(O66="",F66=""),"",O66*F66-1)</f>
        <v/>
      </c>
      <c r="S66" s="2">
        <f>IF(C66="","",ROUND(100*(0.20*H66+0.15*I66+0.15*J66+0.25*K66+0.10*L66+0.05*M66+0.10*N66),0))</f>
        <v/>
      </c>
      <c r="T66" s="2">
        <f>IF(C66="","",IF(OR(F66&lt;PARAMETROS!$B$12,F66&gt;PARAMETROS!$B$13,G66&lt;PARAMETROS!$B$11),"NO APTO",IF(O66&lt;IF(F66&lt;1.6,CONFIG!$B$4,IF(F66&lt;1.7,CONFIG!$B$5,IF(F66&lt;1.8,CONFIG!$B$6,IF(F66&lt;2,CONFIG!$B$7,IF(F66&lt;2.2,CONFIG!$B$8,CONFIG!$B$9))))),"NO APTO",IF(R66&lt;PARAMETROS!$B$14,"NO APTO",IF(S66&gt;=PARAMETROS!$B$10,"ALERTA FUERTE",IF(S66&gt;=PARAMETROS!$B$9,"ALERTA MEDIA","NO APTO"))))))</f>
        <v/>
      </c>
      <c r="U66" s="2">
        <f>IF(T66="","",IF(T66="NO APTO","No cumple uno o más filtros",IF(T66="ALERTA FUERTE","Probabilidad, EV, muestra y score superan filtros","Cumple filtros con confianza media")))</f>
        <v/>
      </c>
    </row>
    <row r="67">
      <c r="A67" s="2">
        <f>IF(C67="","",ROW()-1)</f>
        <v/>
      </c>
      <c r="B67" s="2" t="n"/>
      <c r="C67" s="2" t="n"/>
      <c r="D67" s="2" t="n"/>
      <c r="E67" s="2" t="n"/>
      <c r="F67" s="6" t="n"/>
      <c r="G67" s="2" t="n"/>
      <c r="H67" s="7" t="n"/>
      <c r="I67" s="7" t="n"/>
      <c r="J67" s="7" t="n"/>
      <c r="K67" s="7" t="n"/>
      <c r="L67" s="7" t="n"/>
      <c r="M67" s="7" t="n"/>
      <c r="N67" s="7" t="n"/>
      <c r="O67" s="7">
        <f>IF(C67="","",MAX(0.05,MIN(0.95,0.20*H67+0.15*I67+0.15*J67+0.25*K67+0.10*L67+0.05*M67+0.10*N67)))</f>
        <v/>
      </c>
      <c r="P67" s="7">
        <f>IFERROR(1/F67,"")</f>
        <v/>
      </c>
      <c r="Q67" s="7">
        <f>IF(OR(O67="",P67=""),"",O67-P67)</f>
        <v/>
      </c>
      <c r="R67" s="7">
        <f>IF(OR(O67="",F67=""),"",O67*F67-1)</f>
        <v/>
      </c>
      <c r="S67" s="2">
        <f>IF(C67="","",ROUND(100*(0.20*H67+0.15*I67+0.15*J67+0.25*K67+0.10*L67+0.05*M67+0.10*N67),0))</f>
        <v/>
      </c>
      <c r="T67" s="2">
        <f>IF(C67="","",IF(OR(F67&lt;PARAMETROS!$B$12,F67&gt;PARAMETROS!$B$13,G67&lt;PARAMETROS!$B$11),"NO APTO",IF(O67&lt;IF(F67&lt;1.6,CONFIG!$B$4,IF(F67&lt;1.7,CONFIG!$B$5,IF(F67&lt;1.8,CONFIG!$B$6,IF(F67&lt;2,CONFIG!$B$7,IF(F67&lt;2.2,CONFIG!$B$8,CONFIG!$B$9))))),"NO APTO",IF(R67&lt;PARAMETROS!$B$14,"NO APTO",IF(S67&gt;=PARAMETROS!$B$10,"ALERTA FUERTE",IF(S67&gt;=PARAMETROS!$B$9,"ALERTA MEDIA","NO APTO"))))))</f>
        <v/>
      </c>
      <c r="U67" s="2">
        <f>IF(T67="","",IF(T67="NO APTO","No cumple uno o más filtros",IF(T67="ALERTA FUERTE","Probabilidad, EV, muestra y score superan filtros","Cumple filtros con confianza media")))</f>
        <v/>
      </c>
    </row>
    <row r="68">
      <c r="A68" s="2">
        <f>IF(C68="","",ROW()-1)</f>
        <v/>
      </c>
      <c r="B68" s="2" t="n"/>
      <c r="C68" s="2" t="n"/>
      <c r="D68" s="2" t="n"/>
      <c r="E68" s="2" t="n"/>
      <c r="F68" s="6" t="n"/>
      <c r="G68" s="2" t="n"/>
      <c r="H68" s="7" t="n"/>
      <c r="I68" s="7" t="n"/>
      <c r="J68" s="7" t="n"/>
      <c r="K68" s="7" t="n"/>
      <c r="L68" s="7" t="n"/>
      <c r="M68" s="7" t="n"/>
      <c r="N68" s="7" t="n"/>
      <c r="O68" s="7">
        <f>IF(C68="","",MAX(0.05,MIN(0.95,0.20*H68+0.15*I68+0.15*J68+0.25*K68+0.10*L68+0.05*M68+0.10*N68)))</f>
        <v/>
      </c>
      <c r="P68" s="7">
        <f>IFERROR(1/F68,"")</f>
        <v/>
      </c>
      <c r="Q68" s="7">
        <f>IF(OR(O68="",P68=""),"",O68-P68)</f>
        <v/>
      </c>
      <c r="R68" s="7">
        <f>IF(OR(O68="",F68=""),"",O68*F68-1)</f>
        <v/>
      </c>
      <c r="S68" s="2">
        <f>IF(C68="","",ROUND(100*(0.20*H68+0.15*I68+0.15*J68+0.25*K68+0.10*L68+0.05*M68+0.10*N68),0))</f>
        <v/>
      </c>
      <c r="T68" s="2">
        <f>IF(C68="","",IF(OR(F68&lt;PARAMETROS!$B$12,F68&gt;PARAMETROS!$B$13,G68&lt;PARAMETROS!$B$11),"NO APTO",IF(O68&lt;IF(F68&lt;1.6,CONFIG!$B$4,IF(F68&lt;1.7,CONFIG!$B$5,IF(F68&lt;1.8,CONFIG!$B$6,IF(F68&lt;2,CONFIG!$B$7,IF(F68&lt;2.2,CONFIG!$B$8,CONFIG!$B$9))))),"NO APTO",IF(R68&lt;PARAMETROS!$B$14,"NO APTO",IF(S68&gt;=PARAMETROS!$B$10,"ALERTA FUERTE",IF(S68&gt;=PARAMETROS!$B$9,"ALERTA MEDIA","NO APTO"))))))</f>
        <v/>
      </c>
      <c r="U68" s="2">
        <f>IF(T68="","",IF(T68="NO APTO","No cumple uno o más filtros",IF(T68="ALERTA FUERTE","Probabilidad, EV, muestra y score superan filtros","Cumple filtros con confianza media")))</f>
        <v/>
      </c>
    </row>
    <row r="69">
      <c r="A69" s="2">
        <f>IF(C69="","",ROW()-1)</f>
        <v/>
      </c>
      <c r="B69" s="2" t="n"/>
      <c r="C69" s="2" t="n"/>
      <c r="D69" s="2" t="n"/>
      <c r="E69" s="2" t="n"/>
      <c r="F69" s="6" t="n"/>
      <c r="G69" s="2" t="n"/>
      <c r="H69" s="7" t="n"/>
      <c r="I69" s="7" t="n"/>
      <c r="J69" s="7" t="n"/>
      <c r="K69" s="7" t="n"/>
      <c r="L69" s="7" t="n"/>
      <c r="M69" s="7" t="n"/>
      <c r="N69" s="7" t="n"/>
      <c r="O69" s="7">
        <f>IF(C69="","",MAX(0.05,MIN(0.95,0.20*H69+0.15*I69+0.15*J69+0.25*K69+0.10*L69+0.05*M69+0.10*N69)))</f>
        <v/>
      </c>
      <c r="P69" s="7">
        <f>IFERROR(1/F69,"")</f>
        <v/>
      </c>
      <c r="Q69" s="7">
        <f>IF(OR(O69="",P69=""),"",O69-P69)</f>
        <v/>
      </c>
      <c r="R69" s="7">
        <f>IF(OR(O69="",F69=""),"",O69*F69-1)</f>
        <v/>
      </c>
      <c r="S69" s="2">
        <f>IF(C69="","",ROUND(100*(0.20*H69+0.15*I69+0.15*J69+0.25*K69+0.10*L69+0.05*M69+0.10*N69),0))</f>
        <v/>
      </c>
      <c r="T69" s="2">
        <f>IF(C69="","",IF(OR(F69&lt;PARAMETROS!$B$12,F69&gt;PARAMETROS!$B$13,G69&lt;PARAMETROS!$B$11),"NO APTO",IF(O69&lt;IF(F69&lt;1.6,CONFIG!$B$4,IF(F69&lt;1.7,CONFIG!$B$5,IF(F69&lt;1.8,CONFIG!$B$6,IF(F69&lt;2,CONFIG!$B$7,IF(F69&lt;2.2,CONFIG!$B$8,CONFIG!$B$9))))),"NO APTO",IF(R69&lt;PARAMETROS!$B$14,"NO APTO",IF(S69&gt;=PARAMETROS!$B$10,"ALERTA FUERTE",IF(S69&gt;=PARAMETROS!$B$9,"ALERTA MEDIA","NO APTO"))))))</f>
        <v/>
      </c>
      <c r="U69" s="2">
        <f>IF(T69="","",IF(T69="NO APTO","No cumple uno o más filtros",IF(T69="ALERTA FUERTE","Probabilidad, EV, muestra y score superan filtros","Cumple filtros con confianza media")))</f>
        <v/>
      </c>
    </row>
    <row r="70">
      <c r="A70" s="2">
        <f>IF(C70="","",ROW()-1)</f>
        <v/>
      </c>
      <c r="B70" s="2" t="n"/>
      <c r="C70" s="2" t="n"/>
      <c r="D70" s="2" t="n"/>
      <c r="E70" s="2" t="n"/>
      <c r="F70" s="6" t="n"/>
      <c r="G70" s="2" t="n"/>
      <c r="H70" s="7" t="n"/>
      <c r="I70" s="7" t="n"/>
      <c r="J70" s="7" t="n"/>
      <c r="K70" s="7" t="n"/>
      <c r="L70" s="7" t="n"/>
      <c r="M70" s="7" t="n"/>
      <c r="N70" s="7" t="n"/>
      <c r="O70" s="7">
        <f>IF(C70="","",MAX(0.05,MIN(0.95,0.20*H70+0.15*I70+0.15*J70+0.25*K70+0.10*L70+0.05*M70+0.10*N70)))</f>
        <v/>
      </c>
      <c r="P70" s="7">
        <f>IFERROR(1/F70,"")</f>
        <v/>
      </c>
      <c r="Q70" s="7">
        <f>IF(OR(O70="",P70=""),"",O70-P70)</f>
        <v/>
      </c>
      <c r="R70" s="7">
        <f>IF(OR(O70="",F70=""),"",O70*F70-1)</f>
        <v/>
      </c>
      <c r="S70" s="2">
        <f>IF(C70="","",ROUND(100*(0.20*H70+0.15*I70+0.15*J70+0.25*K70+0.10*L70+0.05*M70+0.10*N70),0))</f>
        <v/>
      </c>
      <c r="T70" s="2">
        <f>IF(C70="","",IF(OR(F70&lt;PARAMETROS!$B$12,F70&gt;PARAMETROS!$B$13,G70&lt;PARAMETROS!$B$11),"NO APTO",IF(O70&lt;IF(F70&lt;1.6,CONFIG!$B$4,IF(F70&lt;1.7,CONFIG!$B$5,IF(F70&lt;1.8,CONFIG!$B$6,IF(F70&lt;2,CONFIG!$B$7,IF(F70&lt;2.2,CONFIG!$B$8,CONFIG!$B$9))))),"NO APTO",IF(R70&lt;PARAMETROS!$B$14,"NO APTO",IF(S70&gt;=PARAMETROS!$B$10,"ALERTA FUERTE",IF(S70&gt;=PARAMETROS!$B$9,"ALERTA MEDIA","NO APTO"))))))</f>
        <v/>
      </c>
      <c r="U70" s="2">
        <f>IF(T70="","",IF(T70="NO APTO","No cumple uno o más filtros",IF(T70="ALERTA FUERTE","Probabilidad, EV, muestra y score superan filtros","Cumple filtros con confianza media")))</f>
        <v/>
      </c>
    </row>
    <row r="71">
      <c r="A71" s="2">
        <f>IF(C71="","",ROW()-1)</f>
        <v/>
      </c>
      <c r="B71" s="2" t="n"/>
      <c r="C71" s="2" t="n"/>
      <c r="D71" s="2" t="n"/>
      <c r="E71" s="2" t="n"/>
      <c r="F71" s="6" t="n"/>
      <c r="G71" s="2" t="n"/>
      <c r="H71" s="7" t="n"/>
      <c r="I71" s="7" t="n"/>
      <c r="J71" s="7" t="n"/>
      <c r="K71" s="7" t="n"/>
      <c r="L71" s="7" t="n"/>
      <c r="M71" s="7" t="n"/>
      <c r="N71" s="7" t="n"/>
      <c r="O71" s="7">
        <f>IF(C71="","",MAX(0.05,MIN(0.95,0.20*H71+0.15*I71+0.15*J71+0.25*K71+0.10*L71+0.05*M71+0.10*N71)))</f>
        <v/>
      </c>
      <c r="P71" s="7">
        <f>IFERROR(1/F71,"")</f>
        <v/>
      </c>
      <c r="Q71" s="7">
        <f>IF(OR(O71="",P71=""),"",O71-P71)</f>
        <v/>
      </c>
      <c r="R71" s="7">
        <f>IF(OR(O71="",F71=""),"",O71*F71-1)</f>
        <v/>
      </c>
      <c r="S71" s="2">
        <f>IF(C71="","",ROUND(100*(0.20*H71+0.15*I71+0.15*J71+0.25*K71+0.10*L71+0.05*M71+0.10*N71),0))</f>
        <v/>
      </c>
      <c r="T71" s="2">
        <f>IF(C71="","",IF(OR(F71&lt;PARAMETROS!$B$12,F71&gt;PARAMETROS!$B$13,G71&lt;PARAMETROS!$B$11),"NO APTO",IF(O71&lt;IF(F71&lt;1.6,CONFIG!$B$4,IF(F71&lt;1.7,CONFIG!$B$5,IF(F71&lt;1.8,CONFIG!$B$6,IF(F71&lt;2,CONFIG!$B$7,IF(F71&lt;2.2,CONFIG!$B$8,CONFIG!$B$9))))),"NO APTO",IF(R71&lt;PARAMETROS!$B$14,"NO APTO",IF(S71&gt;=PARAMETROS!$B$10,"ALERTA FUERTE",IF(S71&gt;=PARAMETROS!$B$9,"ALERTA MEDIA","NO APTO"))))))</f>
        <v/>
      </c>
      <c r="U71" s="2">
        <f>IF(T71="","",IF(T71="NO APTO","No cumple uno o más filtros",IF(T71="ALERTA FUERTE","Probabilidad, EV, muestra y score superan filtros","Cumple filtros con confianza media")))</f>
        <v/>
      </c>
    </row>
    <row r="72">
      <c r="A72" s="2">
        <f>IF(C72="","",ROW()-1)</f>
        <v/>
      </c>
      <c r="B72" s="2" t="n"/>
      <c r="C72" s="2" t="n"/>
      <c r="D72" s="2" t="n"/>
      <c r="E72" s="2" t="n"/>
      <c r="F72" s="6" t="n"/>
      <c r="G72" s="2" t="n"/>
      <c r="H72" s="7" t="n"/>
      <c r="I72" s="7" t="n"/>
      <c r="J72" s="7" t="n"/>
      <c r="K72" s="7" t="n"/>
      <c r="L72" s="7" t="n"/>
      <c r="M72" s="7" t="n"/>
      <c r="N72" s="7" t="n"/>
      <c r="O72" s="7">
        <f>IF(C72="","",MAX(0.05,MIN(0.95,0.20*H72+0.15*I72+0.15*J72+0.25*K72+0.10*L72+0.05*M72+0.10*N72)))</f>
        <v/>
      </c>
      <c r="P72" s="7">
        <f>IFERROR(1/F72,"")</f>
        <v/>
      </c>
      <c r="Q72" s="7">
        <f>IF(OR(O72="",P72=""),"",O72-P72)</f>
        <v/>
      </c>
      <c r="R72" s="7">
        <f>IF(OR(O72="",F72=""),"",O72*F72-1)</f>
        <v/>
      </c>
      <c r="S72" s="2">
        <f>IF(C72="","",ROUND(100*(0.20*H72+0.15*I72+0.15*J72+0.25*K72+0.10*L72+0.05*M72+0.10*N72),0))</f>
        <v/>
      </c>
      <c r="T72" s="2">
        <f>IF(C72="","",IF(OR(F72&lt;PARAMETROS!$B$12,F72&gt;PARAMETROS!$B$13,G72&lt;PARAMETROS!$B$11),"NO APTO",IF(O72&lt;IF(F72&lt;1.6,CONFIG!$B$4,IF(F72&lt;1.7,CONFIG!$B$5,IF(F72&lt;1.8,CONFIG!$B$6,IF(F72&lt;2,CONFIG!$B$7,IF(F72&lt;2.2,CONFIG!$B$8,CONFIG!$B$9))))),"NO APTO",IF(R72&lt;PARAMETROS!$B$14,"NO APTO",IF(S72&gt;=PARAMETROS!$B$10,"ALERTA FUERTE",IF(S72&gt;=PARAMETROS!$B$9,"ALERTA MEDIA","NO APTO"))))))</f>
        <v/>
      </c>
      <c r="U72" s="2">
        <f>IF(T72="","",IF(T72="NO APTO","No cumple uno o más filtros",IF(T72="ALERTA FUERTE","Probabilidad, EV, muestra y score superan filtros","Cumple filtros con confianza media")))</f>
        <v/>
      </c>
    </row>
    <row r="73">
      <c r="A73" s="2">
        <f>IF(C73="","",ROW()-1)</f>
        <v/>
      </c>
      <c r="B73" s="2" t="n"/>
      <c r="C73" s="2" t="n"/>
      <c r="D73" s="2" t="n"/>
      <c r="E73" s="2" t="n"/>
      <c r="F73" s="6" t="n"/>
      <c r="G73" s="2" t="n"/>
      <c r="H73" s="7" t="n"/>
      <c r="I73" s="7" t="n"/>
      <c r="J73" s="7" t="n"/>
      <c r="K73" s="7" t="n"/>
      <c r="L73" s="7" t="n"/>
      <c r="M73" s="7" t="n"/>
      <c r="N73" s="7" t="n"/>
      <c r="O73" s="7">
        <f>IF(C73="","",MAX(0.05,MIN(0.95,0.20*H73+0.15*I73+0.15*J73+0.25*K73+0.10*L73+0.05*M73+0.10*N73)))</f>
        <v/>
      </c>
      <c r="P73" s="7">
        <f>IFERROR(1/F73,"")</f>
        <v/>
      </c>
      <c r="Q73" s="7">
        <f>IF(OR(O73="",P73=""),"",O73-P73)</f>
        <v/>
      </c>
      <c r="R73" s="7">
        <f>IF(OR(O73="",F73=""),"",O73*F73-1)</f>
        <v/>
      </c>
      <c r="S73" s="2">
        <f>IF(C73="","",ROUND(100*(0.20*H73+0.15*I73+0.15*J73+0.25*K73+0.10*L73+0.05*M73+0.10*N73),0))</f>
        <v/>
      </c>
      <c r="T73" s="2">
        <f>IF(C73="","",IF(OR(F73&lt;PARAMETROS!$B$12,F73&gt;PARAMETROS!$B$13,G73&lt;PARAMETROS!$B$11),"NO APTO",IF(O73&lt;IF(F73&lt;1.6,CONFIG!$B$4,IF(F73&lt;1.7,CONFIG!$B$5,IF(F73&lt;1.8,CONFIG!$B$6,IF(F73&lt;2,CONFIG!$B$7,IF(F73&lt;2.2,CONFIG!$B$8,CONFIG!$B$9))))),"NO APTO",IF(R73&lt;PARAMETROS!$B$14,"NO APTO",IF(S73&gt;=PARAMETROS!$B$10,"ALERTA FUERTE",IF(S73&gt;=PARAMETROS!$B$9,"ALERTA MEDIA","NO APTO"))))))</f>
        <v/>
      </c>
      <c r="U73" s="2">
        <f>IF(T73="","",IF(T73="NO APTO","No cumple uno o más filtros",IF(T73="ALERTA FUERTE","Probabilidad, EV, muestra y score superan filtros","Cumple filtros con confianza media")))</f>
        <v/>
      </c>
    </row>
    <row r="74">
      <c r="A74" s="2">
        <f>IF(C74="","",ROW()-1)</f>
        <v/>
      </c>
      <c r="B74" s="2" t="n"/>
      <c r="C74" s="2" t="n"/>
      <c r="D74" s="2" t="n"/>
      <c r="E74" s="2" t="n"/>
      <c r="F74" s="6" t="n"/>
      <c r="G74" s="2" t="n"/>
      <c r="H74" s="7" t="n"/>
      <c r="I74" s="7" t="n"/>
      <c r="J74" s="7" t="n"/>
      <c r="K74" s="7" t="n"/>
      <c r="L74" s="7" t="n"/>
      <c r="M74" s="7" t="n"/>
      <c r="N74" s="7" t="n"/>
      <c r="O74" s="7">
        <f>IF(C74="","",MAX(0.05,MIN(0.95,0.20*H74+0.15*I74+0.15*J74+0.25*K74+0.10*L74+0.05*M74+0.10*N74)))</f>
        <v/>
      </c>
      <c r="P74" s="7">
        <f>IFERROR(1/F74,"")</f>
        <v/>
      </c>
      <c r="Q74" s="7">
        <f>IF(OR(O74="",P74=""),"",O74-P74)</f>
        <v/>
      </c>
      <c r="R74" s="7">
        <f>IF(OR(O74="",F74=""),"",O74*F74-1)</f>
        <v/>
      </c>
      <c r="S74" s="2">
        <f>IF(C74="","",ROUND(100*(0.20*H74+0.15*I74+0.15*J74+0.25*K74+0.10*L74+0.05*M74+0.10*N74),0))</f>
        <v/>
      </c>
      <c r="T74" s="2">
        <f>IF(C74="","",IF(OR(F74&lt;PARAMETROS!$B$12,F74&gt;PARAMETROS!$B$13,G74&lt;PARAMETROS!$B$11),"NO APTO",IF(O74&lt;IF(F74&lt;1.6,CONFIG!$B$4,IF(F74&lt;1.7,CONFIG!$B$5,IF(F74&lt;1.8,CONFIG!$B$6,IF(F74&lt;2,CONFIG!$B$7,IF(F74&lt;2.2,CONFIG!$B$8,CONFIG!$B$9))))),"NO APTO",IF(R74&lt;PARAMETROS!$B$14,"NO APTO",IF(S74&gt;=PARAMETROS!$B$10,"ALERTA FUERTE",IF(S74&gt;=PARAMETROS!$B$9,"ALERTA MEDIA","NO APTO"))))))</f>
        <v/>
      </c>
      <c r="U74" s="2">
        <f>IF(T74="","",IF(T74="NO APTO","No cumple uno o más filtros",IF(T74="ALERTA FUERTE","Probabilidad, EV, muestra y score superan filtros","Cumple filtros con confianza media")))</f>
        <v/>
      </c>
    </row>
    <row r="75">
      <c r="A75" s="2">
        <f>IF(C75="","",ROW()-1)</f>
        <v/>
      </c>
      <c r="B75" s="2" t="n"/>
      <c r="C75" s="2" t="n"/>
      <c r="D75" s="2" t="n"/>
      <c r="E75" s="2" t="n"/>
      <c r="F75" s="6" t="n"/>
      <c r="G75" s="2" t="n"/>
      <c r="H75" s="7" t="n"/>
      <c r="I75" s="7" t="n"/>
      <c r="J75" s="7" t="n"/>
      <c r="K75" s="7" t="n"/>
      <c r="L75" s="7" t="n"/>
      <c r="M75" s="7" t="n"/>
      <c r="N75" s="7" t="n"/>
      <c r="O75" s="7">
        <f>IF(C75="","",MAX(0.05,MIN(0.95,0.20*H75+0.15*I75+0.15*J75+0.25*K75+0.10*L75+0.05*M75+0.10*N75)))</f>
        <v/>
      </c>
      <c r="P75" s="7">
        <f>IFERROR(1/F75,"")</f>
        <v/>
      </c>
      <c r="Q75" s="7">
        <f>IF(OR(O75="",P75=""),"",O75-P75)</f>
        <v/>
      </c>
      <c r="R75" s="7">
        <f>IF(OR(O75="",F75=""),"",O75*F75-1)</f>
        <v/>
      </c>
      <c r="S75" s="2">
        <f>IF(C75="","",ROUND(100*(0.20*H75+0.15*I75+0.15*J75+0.25*K75+0.10*L75+0.05*M75+0.10*N75),0))</f>
        <v/>
      </c>
      <c r="T75" s="2">
        <f>IF(C75="","",IF(OR(F75&lt;PARAMETROS!$B$12,F75&gt;PARAMETROS!$B$13,G75&lt;PARAMETROS!$B$11),"NO APTO",IF(O75&lt;IF(F75&lt;1.6,CONFIG!$B$4,IF(F75&lt;1.7,CONFIG!$B$5,IF(F75&lt;1.8,CONFIG!$B$6,IF(F75&lt;2,CONFIG!$B$7,IF(F75&lt;2.2,CONFIG!$B$8,CONFIG!$B$9))))),"NO APTO",IF(R75&lt;PARAMETROS!$B$14,"NO APTO",IF(S75&gt;=PARAMETROS!$B$10,"ALERTA FUERTE",IF(S75&gt;=PARAMETROS!$B$9,"ALERTA MEDIA","NO APTO"))))))</f>
        <v/>
      </c>
      <c r="U75" s="2">
        <f>IF(T75="","",IF(T75="NO APTO","No cumple uno o más filtros",IF(T75="ALERTA FUERTE","Probabilidad, EV, muestra y score superan filtros","Cumple filtros con confianza media")))</f>
        <v/>
      </c>
    </row>
    <row r="76">
      <c r="A76" s="2">
        <f>IF(C76="","",ROW()-1)</f>
        <v/>
      </c>
      <c r="B76" s="2" t="n"/>
      <c r="C76" s="2" t="n"/>
      <c r="D76" s="2" t="n"/>
      <c r="E76" s="2" t="n"/>
      <c r="F76" s="6" t="n"/>
      <c r="G76" s="2" t="n"/>
      <c r="H76" s="7" t="n"/>
      <c r="I76" s="7" t="n"/>
      <c r="J76" s="7" t="n"/>
      <c r="K76" s="7" t="n"/>
      <c r="L76" s="7" t="n"/>
      <c r="M76" s="7" t="n"/>
      <c r="N76" s="7" t="n"/>
      <c r="O76" s="7">
        <f>IF(C76="","",MAX(0.05,MIN(0.95,0.20*H76+0.15*I76+0.15*J76+0.25*K76+0.10*L76+0.05*M76+0.10*N76)))</f>
        <v/>
      </c>
      <c r="P76" s="7">
        <f>IFERROR(1/F76,"")</f>
        <v/>
      </c>
      <c r="Q76" s="7">
        <f>IF(OR(O76="",P76=""),"",O76-P76)</f>
        <v/>
      </c>
      <c r="R76" s="7">
        <f>IF(OR(O76="",F76=""),"",O76*F76-1)</f>
        <v/>
      </c>
      <c r="S76" s="2">
        <f>IF(C76="","",ROUND(100*(0.20*H76+0.15*I76+0.15*J76+0.25*K76+0.10*L76+0.05*M76+0.10*N76),0))</f>
        <v/>
      </c>
      <c r="T76" s="2">
        <f>IF(C76="","",IF(OR(F76&lt;PARAMETROS!$B$12,F76&gt;PARAMETROS!$B$13,G76&lt;PARAMETROS!$B$11),"NO APTO",IF(O76&lt;IF(F76&lt;1.6,CONFIG!$B$4,IF(F76&lt;1.7,CONFIG!$B$5,IF(F76&lt;1.8,CONFIG!$B$6,IF(F76&lt;2,CONFIG!$B$7,IF(F76&lt;2.2,CONFIG!$B$8,CONFIG!$B$9))))),"NO APTO",IF(R76&lt;PARAMETROS!$B$14,"NO APTO",IF(S76&gt;=PARAMETROS!$B$10,"ALERTA FUERTE",IF(S76&gt;=PARAMETROS!$B$9,"ALERTA MEDIA","NO APTO"))))))</f>
        <v/>
      </c>
      <c r="U76" s="2">
        <f>IF(T76="","",IF(T76="NO APTO","No cumple uno o más filtros",IF(T76="ALERTA FUERTE","Probabilidad, EV, muestra y score superan filtros","Cumple filtros con confianza media")))</f>
        <v/>
      </c>
    </row>
    <row r="77">
      <c r="A77" s="2">
        <f>IF(C77="","",ROW()-1)</f>
        <v/>
      </c>
      <c r="B77" s="2" t="n"/>
      <c r="C77" s="2" t="n"/>
      <c r="D77" s="2" t="n"/>
      <c r="E77" s="2" t="n"/>
      <c r="F77" s="6" t="n"/>
      <c r="G77" s="2" t="n"/>
      <c r="H77" s="7" t="n"/>
      <c r="I77" s="7" t="n"/>
      <c r="J77" s="7" t="n"/>
      <c r="K77" s="7" t="n"/>
      <c r="L77" s="7" t="n"/>
      <c r="M77" s="7" t="n"/>
      <c r="N77" s="7" t="n"/>
      <c r="O77" s="7">
        <f>IF(C77="","",MAX(0.05,MIN(0.95,0.20*H77+0.15*I77+0.15*J77+0.25*K77+0.10*L77+0.05*M77+0.10*N77)))</f>
        <v/>
      </c>
      <c r="P77" s="7">
        <f>IFERROR(1/F77,"")</f>
        <v/>
      </c>
      <c r="Q77" s="7">
        <f>IF(OR(O77="",P77=""),"",O77-P77)</f>
        <v/>
      </c>
      <c r="R77" s="7">
        <f>IF(OR(O77="",F77=""),"",O77*F77-1)</f>
        <v/>
      </c>
      <c r="S77" s="2">
        <f>IF(C77="","",ROUND(100*(0.20*H77+0.15*I77+0.15*J77+0.25*K77+0.10*L77+0.05*M77+0.10*N77),0))</f>
        <v/>
      </c>
      <c r="T77" s="2">
        <f>IF(C77="","",IF(OR(F77&lt;PARAMETROS!$B$12,F77&gt;PARAMETROS!$B$13,G77&lt;PARAMETROS!$B$11),"NO APTO",IF(O77&lt;IF(F77&lt;1.6,CONFIG!$B$4,IF(F77&lt;1.7,CONFIG!$B$5,IF(F77&lt;1.8,CONFIG!$B$6,IF(F77&lt;2,CONFIG!$B$7,IF(F77&lt;2.2,CONFIG!$B$8,CONFIG!$B$9))))),"NO APTO",IF(R77&lt;PARAMETROS!$B$14,"NO APTO",IF(S77&gt;=PARAMETROS!$B$10,"ALERTA FUERTE",IF(S77&gt;=PARAMETROS!$B$9,"ALERTA MEDIA","NO APTO"))))))</f>
        <v/>
      </c>
      <c r="U77" s="2">
        <f>IF(T77="","",IF(T77="NO APTO","No cumple uno o más filtros",IF(T77="ALERTA FUERTE","Probabilidad, EV, muestra y score superan filtros","Cumple filtros con confianza media")))</f>
        <v/>
      </c>
    </row>
    <row r="78">
      <c r="A78" s="2">
        <f>IF(C78="","",ROW()-1)</f>
        <v/>
      </c>
      <c r="B78" s="2" t="n"/>
      <c r="C78" s="2" t="n"/>
      <c r="D78" s="2" t="n"/>
      <c r="E78" s="2" t="n"/>
      <c r="F78" s="6" t="n"/>
      <c r="G78" s="2" t="n"/>
      <c r="H78" s="7" t="n"/>
      <c r="I78" s="7" t="n"/>
      <c r="J78" s="7" t="n"/>
      <c r="K78" s="7" t="n"/>
      <c r="L78" s="7" t="n"/>
      <c r="M78" s="7" t="n"/>
      <c r="N78" s="7" t="n"/>
      <c r="O78" s="7">
        <f>IF(C78="","",MAX(0.05,MIN(0.95,0.20*H78+0.15*I78+0.15*J78+0.25*K78+0.10*L78+0.05*M78+0.10*N78)))</f>
        <v/>
      </c>
      <c r="P78" s="7">
        <f>IFERROR(1/F78,"")</f>
        <v/>
      </c>
      <c r="Q78" s="7">
        <f>IF(OR(O78="",P78=""),"",O78-P78)</f>
        <v/>
      </c>
      <c r="R78" s="7">
        <f>IF(OR(O78="",F78=""),"",O78*F78-1)</f>
        <v/>
      </c>
      <c r="S78" s="2">
        <f>IF(C78="","",ROUND(100*(0.20*H78+0.15*I78+0.15*J78+0.25*K78+0.10*L78+0.05*M78+0.10*N78),0))</f>
        <v/>
      </c>
      <c r="T78" s="2">
        <f>IF(C78="","",IF(OR(F78&lt;PARAMETROS!$B$12,F78&gt;PARAMETROS!$B$13,G78&lt;PARAMETROS!$B$11),"NO APTO",IF(O78&lt;IF(F78&lt;1.6,CONFIG!$B$4,IF(F78&lt;1.7,CONFIG!$B$5,IF(F78&lt;1.8,CONFIG!$B$6,IF(F78&lt;2,CONFIG!$B$7,IF(F78&lt;2.2,CONFIG!$B$8,CONFIG!$B$9))))),"NO APTO",IF(R78&lt;PARAMETROS!$B$14,"NO APTO",IF(S78&gt;=PARAMETROS!$B$10,"ALERTA FUERTE",IF(S78&gt;=PARAMETROS!$B$9,"ALERTA MEDIA","NO APTO"))))))</f>
        <v/>
      </c>
      <c r="U78" s="2">
        <f>IF(T78="","",IF(T78="NO APTO","No cumple uno o más filtros",IF(T78="ALERTA FUERTE","Probabilidad, EV, muestra y score superan filtros","Cumple filtros con confianza media")))</f>
        <v/>
      </c>
    </row>
    <row r="79">
      <c r="A79" s="2">
        <f>IF(C79="","",ROW()-1)</f>
        <v/>
      </c>
      <c r="B79" s="2" t="n"/>
      <c r="C79" s="2" t="n"/>
      <c r="D79" s="2" t="n"/>
      <c r="E79" s="2" t="n"/>
      <c r="F79" s="6" t="n"/>
      <c r="G79" s="2" t="n"/>
      <c r="H79" s="7" t="n"/>
      <c r="I79" s="7" t="n"/>
      <c r="J79" s="7" t="n"/>
      <c r="K79" s="7" t="n"/>
      <c r="L79" s="7" t="n"/>
      <c r="M79" s="7" t="n"/>
      <c r="N79" s="7" t="n"/>
      <c r="O79" s="7">
        <f>IF(C79="","",MAX(0.05,MIN(0.95,0.20*H79+0.15*I79+0.15*J79+0.25*K79+0.10*L79+0.05*M79+0.10*N79)))</f>
        <v/>
      </c>
      <c r="P79" s="7">
        <f>IFERROR(1/F79,"")</f>
        <v/>
      </c>
      <c r="Q79" s="7">
        <f>IF(OR(O79="",P79=""),"",O79-P79)</f>
        <v/>
      </c>
      <c r="R79" s="7">
        <f>IF(OR(O79="",F79=""),"",O79*F79-1)</f>
        <v/>
      </c>
      <c r="S79" s="2">
        <f>IF(C79="","",ROUND(100*(0.20*H79+0.15*I79+0.15*J79+0.25*K79+0.10*L79+0.05*M79+0.10*N79),0))</f>
        <v/>
      </c>
      <c r="T79" s="2">
        <f>IF(C79="","",IF(OR(F79&lt;PARAMETROS!$B$12,F79&gt;PARAMETROS!$B$13,G79&lt;PARAMETROS!$B$11),"NO APTO",IF(O79&lt;IF(F79&lt;1.6,CONFIG!$B$4,IF(F79&lt;1.7,CONFIG!$B$5,IF(F79&lt;1.8,CONFIG!$B$6,IF(F79&lt;2,CONFIG!$B$7,IF(F79&lt;2.2,CONFIG!$B$8,CONFIG!$B$9))))),"NO APTO",IF(R79&lt;PARAMETROS!$B$14,"NO APTO",IF(S79&gt;=PARAMETROS!$B$10,"ALERTA FUERTE",IF(S79&gt;=PARAMETROS!$B$9,"ALERTA MEDIA","NO APTO"))))))</f>
        <v/>
      </c>
      <c r="U79" s="2">
        <f>IF(T79="","",IF(T79="NO APTO","No cumple uno o más filtros",IF(T79="ALERTA FUERTE","Probabilidad, EV, muestra y score superan filtros","Cumple filtros con confianza media")))</f>
        <v/>
      </c>
    </row>
    <row r="80">
      <c r="A80" s="2">
        <f>IF(C80="","",ROW()-1)</f>
        <v/>
      </c>
      <c r="B80" s="2" t="n"/>
      <c r="C80" s="2" t="n"/>
      <c r="D80" s="2" t="n"/>
      <c r="E80" s="2" t="n"/>
      <c r="F80" s="6" t="n"/>
      <c r="G80" s="2" t="n"/>
      <c r="H80" s="7" t="n"/>
      <c r="I80" s="7" t="n"/>
      <c r="J80" s="7" t="n"/>
      <c r="K80" s="7" t="n"/>
      <c r="L80" s="7" t="n"/>
      <c r="M80" s="7" t="n"/>
      <c r="N80" s="7" t="n"/>
      <c r="O80" s="7">
        <f>IF(C80="","",MAX(0.05,MIN(0.95,0.20*H80+0.15*I80+0.15*J80+0.25*K80+0.10*L80+0.05*M80+0.10*N80)))</f>
        <v/>
      </c>
      <c r="P80" s="7">
        <f>IFERROR(1/F80,"")</f>
        <v/>
      </c>
      <c r="Q80" s="7">
        <f>IF(OR(O80="",P80=""),"",O80-P80)</f>
        <v/>
      </c>
      <c r="R80" s="7">
        <f>IF(OR(O80="",F80=""),"",O80*F80-1)</f>
        <v/>
      </c>
      <c r="S80" s="2">
        <f>IF(C80="","",ROUND(100*(0.20*H80+0.15*I80+0.15*J80+0.25*K80+0.10*L80+0.05*M80+0.10*N80),0))</f>
        <v/>
      </c>
      <c r="T80" s="2">
        <f>IF(C80="","",IF(OR(F80&lt;PARAMETROS!$B$12,F80&gt;PARAMETROS!$B$13,G80&lt;PARAMETROS!$B$11),"NO APTO",IF(O80&lt;IF(F80&lt;1.6,CONFIG!$B$4,IF(F80&lt;1.7,CONFIG!$B$5,IF(F80&lt;1.8,CONFIG!$B$6,IF(F80&lt;2,CONFIG!$B$7,IF(F80&lt;2.2,CONFIG!$B$8,CONFIG!$B$9))))),"NO APTO",IF(R80&lt;PARAMETROS!$B$14,"NO APTO",IF(S80&gt;=PARAMETROS!$B$10,"ALERTA FUERTE",IF(S80&gt;=PARAMETROS!$B$9,"ALERTA MEDIA","NO APTO"))))))</f>
        <v/>
      </c>
      <c r="U80" s="2">
        <f>IF(T80="","",IF(T80="NO APTO","No cumple uno o más filtros",IF(T80="ALERTA FUERTE","Probabilidad, EV, muestra y score superan filtros","Cumple filtros con confianza media")))</f>
        <v/>
      </c>
    </row>
    <row r="81">
      <c r="A81" s="2">
        <f>IF(C81="","",ROW()-1)</f>
        <v/>
      </c>
      <c r="B81" s="2" t="n"/>
      <c r="C81" s="2" t="n"/>
      <c r="D81" s="2" t="n"/>
      <c r="E81" s="2" t="n"/>
      <c r="F81" s="6" t="n"/>
      <c r="G81" s="2" t="n"/>
      <c r="H81" s="7" t="n"/>
      <c r="I81" s="7" t="n"/>
      <c r="J81" s="7" t="n"/>
      <c r="K81" s="7" t="n"/>
      <c r="L81" s="7" t="n"/>
      <c r="M81" s="7" t="n"/>
      <c r="N81" s="7" t="n"/>
      <c r="O81" s="7">
        <f>IF(C81="","",MAX(0.05,MIN(0.95,0.20*H81+0.15*I81+0.15*J81+0.25*K81+0.10*L81+0.05*M81+0.10*N81)))</f>
        <v/>
      </c>
      <c r="P81" s="7">
        <f>IFERROR(1/F81,"")</f>
        <v/>
      </c>
      <c r="Q81" s="7">
        <f>IF(OR(O81="",P81=""),"",O81-P81)</f>
        <v/>
      </c>
      <c r="R81" s="7">
        <f>IF(OR(O81="",F81=""),"",O81*F81-1)</f>
        <v/>
      </c>
      <c r="S81" s="2">
        <f>IF(C81="","",ROUND(100*(0.20*H81+0.15*I81+0.15*J81+0.25*K81+0.10*L81+0.05*M81+0.10*N81),0))</f>
        <v/>
      </c>
      <c r="T81" s="2">
        <f>IF(C81="","",IF(OR(F81&lt;PARAMETROS!$B$12,F81&gt;PARAMETROS!$B$13,G81&lt;PARAMETROS!$B$11),"NO APTO",IF(O81&lt;IF(F81&lt;1.6,CONFIG!$B$4,IF(F81&lt;1.7,CONFIG!$B$5,IF(F81&lt;1.8,CONFIG!$B$6,IF(F81&lt;2,CONFIG!$B$7,IF(F81&lt;2.2,CONFIG!$B$8,CONFIG!$B$9))))),"NO APTO",IF(R81&lt;PARAMETROS!$B$14,"NO APTO",IF(S81&gt;=PARAMETROS!$B$10,"ALERTA FUERTE",IF(S81&gt;=PARAMETROS!$B$9,"ALERTA MEDIA","NO APTO"))))))</f>
        <v/>
      </c>
      <c r="U81" s="2">
        <f>IF(T81="","",IF(T81="NO APTO","No cumple uno o más filtros",IF(T81="ALERTA FUERTE","Probabilidad, EV, muestra y score superan filtros","Cumple filtros con confianza media")))</f>
        <v/>
      </c>
    </row>
    <row r="82">
      <c r="A82" s="2">
        <f>IF(C82="","",ROW()-1)</f>
        <v/>
      </c>
      <c r="B82" s="2" t="n"/>
      <c r="C82" s="2" t="n"/>
      <c r="D82" s="2" t="n"/>
      <c r="E82" s="2" t="n"/>
      <c r="F82" s="6" t="n"/>
      <c r="G82" s="2" t="n"/>
      <c r="H82" s="7" t="n"/>
      <c r="I82" s="7" t="n"/>
      <c r="J82" s="7" t="n"/>
      <c r="K82" s="7" t="n"/>
      <c r="L82" s="7" t="n"/>
      <c r="M82" s="7" t="n"/>
      <c r="N82" s="7" t="n"/>
      <c r="O82" s="7">
        <f>IF(C82="","",MAX(0.05,MIN(0.95,0.20*H82+0.15*I82+0.15*J82+0.25*K82+0.10*L82+0.05*M82+0.10*N82)))</f>
        <v/>
      </c>
      <c r="P82" s="7">
        <f>IFERROR(1/F82,"")</f>
        <v/>
      </c>
      <c r="Q82" s="7">
        <f>IF(OR(O82="",P82=""),"",O82-P82)</f>
        <v/>
      </c>
      <c r="R82" s="7">
        <f>IF(OR(O82="",F82=""),"",O82*F82-1)</f>
        <v/>
      </c>
      <c r="S82" s="2">
        <f>IF(C82="","",ROUND(100*(0.20*H82+0.15*I82+0.15*J82+0.25*K82+0.10*L82+0.05*M82+0.10*N82),0))</f>
        <v/>
      </c>
      <c r="T82" s="2">
        <f>IF(C82="","",IF(OR(F82&lt;PARAMETROS!$B$12,F82&gt;PARAMETROS!$B$13,G82&lt;PARAMETROS!$B$11),"NO APTO",IF(O82&lt;IF(F82&lt;1.6,CONFIG!$B$4,IF(F82&lt;1.7,CONFIG!$B$5,IF(F82&lt;1.8,CONFIG!$B$6,IF(F82&lt;2,CONFIG!$B$7,IF(F82&lt;2.2,CONFIG!$B$8,CONFIG!$B$9))))),"NO APTO",IF(R82&lt;PARAMETROS!$B$14,"NO APTO",IF(S82&gt;=PARAMETROS!$B$10,"ALERTA FUERTE",IF(S82&gt;=PARAMETROS!$B$9,"ALERTA MEDIA","NO APTO"))))))</f>
        <v/>
      </c>
      <c r="U82" s="2">
        <f>IF(T82="","",IF(T82="NO APTO","No cumple uno o más filtros",IF(T82="ALERTA FUERTE","Probabilidad, EV, muestra y score superan filtros","Cumple filtros con confianza media")))</f>
        <v/>
      </c>
    </row>
    <row r="83">
      <c r="A83" s="2">
        <f>IF(C83="","",ROW()-1)</f>
        <v/>
      </c>
      <c r="B83" s="2" t="n"/>
      <c r="C83" s="2" t="n"/>
      <c r="D83" s="2" t="n"/>
      <c r="E83" s="2" t="n"/>
      <c r="F83" s="6" t="n"/>
      <c r="G83" s="2" t="n"/>
      <c r="H83" s="7" t="n"/>
      <c r="I83" s="7" t="n"/>
      <c r="J83" s="7" t="n"/>
      <c r="K83" s="7" t="n"/>
      <c r="L83" s="7" t="n"/>
      <c r="M83" s="7" t="n"/>
      <c r="N83" s="7" t="n"/>
      <c r="O83" s="7">
        <f>IF(C83="","",MAX(0.05,MIN(0.95,0.20*H83+0.15*I83+0.15*J83+0.25*K83+0.10*L83+0.05*M83+0.10*N83)))</f>
        <v/>
      </c>
      <c r="P83" s="7">
        <f>IFERROR(1/F83,"")</f>
        <v/>
      </c>
      <c r="Q83" s="7">
        <f>IF(OR(O83="",P83=""),"",O83-P83)</f>
        <v/>
      </c>
      <c r="R83" s="7">
        <f>IF(OR(O83="",F83=""),"",O83*F83-1)</f>
        <v/>
      </c>
      <c r="S83" s="2">
        <f>IF(C83="","",ROUND(100*(0.20*H83+0.15*I83+0.15*J83+0.25*K83+0.10*L83+0.05*M83+0.10*N83),0))</f>
        <v/>
      </c>
      <c r="T83" s="2">
        <f>IF(C83="","",IF(OR(F83&lt;PARAMETROS!$B$12,F83&gt;PARAMETROS!$B$13,G83&lt;PARAMETROS!$B$11),"NO APTO",IF(O83&lt;IF(F83&lt;1.6,CONFIG!$B$4,IF(F83&lt;1.7,CONFIG!$B$5,IF(F83&lt;1.8,CONFIG!$B$6,IF(F83&lt;2,CONFIG!$B$7,IF(F83&lt;2.2,CONFIG!$B$8,CONFIG!$B$9))))),"NO APTO",IF(R83&lt;PARAMETROS!$B$14,"NO APTO",IF(S83&gt;=PARAMETROS!$B$10,"ALERTA FUERTE",IF(S83&gt;=PARAMETROS!$B$9,"ALERTA MEDIA","NO APTO"))))))</f>
        <v/>
      </c>
      <c r="U83" s="2">
        <f>IF(T83="","",IF(T83="NO APTO","No cumple uno o más filtros",IF(T83="ALERTA FUERTE","Probabilidad, EV, muestra y score superan filtros","Cumple filtros con confianza media")))</f>
        <v/>
      </c>
    </row>
    <row r="84">
      <c r="A84" s="2">
        <f>IF(C84="","",ROW()-1)</f>
        <v/>
      </c>
      <c r="B84" s="2" t="n"/>
      <c r="C84" s="2" t="n"/>
      <c r="D84" s="2" t="n"/>
      <c r="E84" s="2" t="n"/>
      <c r="F84" s="6" t="n"/>
      <c r="G84" s="2" t="n"/>
      <c r="H84" s="7" t="n"/>
      <c r="I84" s="7" t="n"/>
      <c r="J84" s="7" t="n"/>
      <c r="K84" s="7" t="n"/>
      <c r="L84" s="7" t="n"/>
      <c r="M84" s="7" t="n"/>
      <c r="N84" s="7" t="n"/>
      <c r="O84" s="7">
        <f>IF(C84="","",MAX(0.05,MIN(0.95,0.20*H84+0.15*I84+0.15*J84+0.25*K84+0.10*L84+0.05*M84+0.10*N84)))</f>
        <v/>
      </c>
      <c r="P84" s="7">
        <f>IFERROR(1/F84,"")</f>
        <v/>
      </c>
      <c r="Q84" s="7">
        <f>IF(OR(O84="",P84=""),"",O84-P84)</f>
        <v/>
      </c>
      <c r="R84" s="7">
        <f>IF(OR(O84="",F84=""),"",O84*F84-1)</f>
        <v/>
      </c>
      <c r="S84" s="2">
        <f>IF(C84="","",ROUND(100*(0.20*H84+0.15*I84+0.15*J84+0.25*K84+0.10*L84+0.05*M84+0.10*N84),0))</f>
        <v/>
      </c>
      <c r="T84" s="2">
        <f>IF(C84="","",IF(OR(F84&lt;PARAMETROS!$B$12,F84&gt;PARAMETROS!$B$13,G84&lt;PARAMETROS!$B$11),"NO APTO",IF(O84&lt;IF(F84&lt;1.6,CONFIG!$B$4,IF(F84&lt;1.7,CONFIG!$B$5,IF(F84&lt;1.8,CONFIG!$B$6,IF(F84&lt;2,CONFIG!$B$7,IF(F84&lt;2.2,CONFIG!$B$8,CONFIG!$B$9))))),"NO APTO",IF(R84&lt;PARAMETROS!$B$14,"NO APTO",IF(S84&gt;=PARAMETROS!$B$10,"ALERTA FUERTE",IF(S84&gt;=PARAMETROS!$B$9,"ALERTA MEDIA","NO APTO"))))))</f>
        <v/>
      </c>
      <c r="U84" s="2">
        <f>IF(T84="","",IF(T84="NO APTO","No cumple uno o más filtros",IF(T84="ALERTA FUERTE","Probabilidad, EV, muestra y score superan filtros","Cumple filtros con confianza media")))</f>
        <v/>
      </c>
    </row>
    <row r="85">
      <c r="A85" s="2">
        <f>IF(C85="","",ROW()-1)</f>
        <v/>
      </c>
      <c r="B85" s="2" t="n"/>
      <c r="C85" s="2" t="n"/>
      <c r="D85" s="2" t="n"/>
      <c r="E85" s="2" t="n"/>
      <c r="F85" s="6" t="n"/>
      <c r="G85" s="2" t="n"/>
      <c r="H85" s="7" t="n"/>
      <c r="I85" s="7" t="n"/>
      <c r="J85" s="7" t="n"/>
      <c r="K85" s="7" t="n"/>
      <c r="L85" s="7" t="n"/>
      <c r="M85" s="7" t="n"/>
      <c r="N85" s="7" t="n"/>
      <c r="O85" s="7">
        <f>IF(C85="","",MAX(0.05,MIN(0.95,0.20*H85+0.15*I85+0.15*J85+0.25*K85+0.10*L85+0.05*M85+0.10*N85)))</f>
        <v/>
      </c>
      <c r="P85" s="7">
        <f>IFERROR(1/F85,"")</f>
        <v/>
      </c>
      <c r="Q85" s="7">
        <f>IF(OR(O85="",P85=""),"",O85-P85)</f>
        <v/>
      </c>
      <c r="R85" s="7">
        <f>IF(OR(O85="",F85=""),"",O85*F85-1)</f>
        <v/>
      </c>
      <c r="S85" s="2">
        <f>IF(C85="","",ROUND(100*(0.20*H85+0.15*I85+0.15*J85+0.25*K85+0.10*L85+0.05*M85+0.10*N85),0))</f>
        <v/>
      </c>
      <c r="T85" s="2">
        <f>IF(C85="","",IF(OR(F85&lt;PARAMETROS!$B$12,F85&gt;PARAMETROS!$B$13,G85&lt;PARAMETROS!$B$11),"NO APTO",IF(O85&lt;IF(F85&lt;1.6,CONFIG!$B$4,IF(F85&lt;1.7,CONFIG!$B$5,IF(F85&lt;1.8,CONFIG!$B$6,IF(F85&lt;2,CONFIG!$B$7,IF(F85&lt;2.2,CONFIG!$B$8,CONFIG!$B$9))))),"NO APTO",IF(R85&lt;PARAMETROS!$B$14,"NO APTO",IF(S85&gt;=PARAMETROS!$B$10,"ALERTA FUERTE",IF(S85&gt;=PARAMETROS!$B$9,"ALERTA MEDIA","NO APTO"))))))</f>
        <v/>
      </c>
      <c r="U85" s="2">
        <f>IF(T85="","",IF(T85="NO APTO","No cumple uno o más filtros",IF(T85="ALERTA FUERTE","Probabilidad, EV, muestra y score superan filtros","Cumple filtros con confianza media")))</f>
        <v/>
      </c>
    </row>
    <row r="86">
      <c r="A86" s="2">
        <f>IF(C86="","",ROW()-1)</f>
        <v/>
      </c>
      <c r="B86" s="2" t="n"/>
      <c r="C86" s="2" t="n"/>
      <c r="D86" s="2" t="n"/>
      <c r="E86" s="2" t="n"/>
      <c r="F86" s="6" t="n"/>
      <c r="G86" s="2" t="n"/>
      <c r="H86" s="7" t="n"/>
      <c r="I86" s="7" t="n"/>
      <c r="J86" s="7" t="n"/>
      <c r="K86" s="7" t="n"/>
      <c r="L86" s="7" t="n"/>
      <c r="M86" s="7" t="n"/>
      <c r="N86" s="7" t="n"/>
      <c r="O86" s="7">
        <f>IF(C86="","",MAX(0.05,MIN(0.95,0.20*H86+0.15*I86+0.15*J86+0.25*K86+0.10*L86+0.05*M86+0.10*N86)))</f>
        <v/>
      </c>
      <c r="P86" s="7">
        <f>IFERROR(1/F86,"")</f>
        <v/>
      </c>
      <c r="Q86" s="7">
        <f>IF(OR(O86="",P86=""),"",O86-P86)</f>
        <v/>
      </c>
      <c r="R86" s="7">
        <f>IF(OR(O86="",F86=""),"",O86*F86-1)</f>
        <v/>
      </c>
      <c r="S86" s="2">
        <f>IF(C86="","",ROUND(100*(0.20*H86+0.15*I86+0.15*J86+0.25*K86+0.10*L86+0.05*M86+0.10*N86),0))</f>
        <v/>
      </c>
      <c r="T86" s="2">
        <f>IF(C86="","",IF(OR(F86&lt;PARAMETROS!$B$12,F86&gt;PARAMETROS!$B$13,G86&lt;PARAMETROS!$B$11),"NO APTO",IF(O86&lt;IF(F86&lt;1.6,CONFIG!$B$4,IF(F86&lt;1.7,CONFIG!$B$5,IF(F86&lt;1.8,CONFIG!$B$6,IF(F86&lt;2,CONFIG!$B$7,IF(F86&lt;2.2,CONFIG!$B$8,CONFIG!$B$9))))),"NO APTO",IF(R86&lt;PARAMETROS!$B$14,"NO APTO",IF(S86&gt;=PARAMETROS!$B$10,"ALERTA FUERTE",IF(S86&gt;=PARAMETROS!$B$9,"ALERTA MEDIA","NO APTO"))))))</f>
        <v/>
      </c>
      <c r="U86" s="2">
        <f>IF(T86="","",IF(T86="NO APTO","No cumple uno o más filtros",IF(T86="ALERTA FUERTE","Probabilidad, EV, muestra y score superan filtros","Cumple filtros con confianza media")))</f>
        <v/>
      </c>
    </row>
    <row r="87">
      <c r="A87" s="2">
        <f>IF(C87="","",ROW()-1)</f>
        <v/>
      </c>
      <c r="B87" s="2" t="n"/>
      <c r="C87" s="2" t="n"/>
      <c r="D87" s="2" t="n"/>
      <c r="E87" s="2" t="n"/>
      <c r="F87" s="6" t="n"/>
      <c r="G87" s="2" t="n"/>
      <c r="H87" s="7" t="n"/>
      <c r="I87" s="7" t="n"/>
      <c r="J87" s="7" t="n"/>
      <c r="K87" s="7" t="n"/>
      <c r="L87" s="7" t="n"/>
      <c r="M87" s="7" t="n"/>
      <c r="N87" s="7" t="n"/>
      <c r="O87" s="7">
        <f>IF(C87="","",MAX(0.05,MIN(0.95,0.20*H87+0.15*I87+0.15*J87+0.25*K87+0.10*L87+0.05*M87+0.10*N87)))</f>
        <v/>
      </c>
      <c r="P87" s="7">
        <f>IFERROR(1/F87,"")</f>
        <v/>
      </c>
      <c r="Q87" s="7">
        <f>IF(OR(O87="",P87=""),"",O87-P87)</f>
        <v/>
      </c>
      <c r="R87" s="7">
        <f>IF(OR(O87="",F87=""),"",O87*F87-1)</f>
        <v/>
      </c>
      <c r="S87" s="2">
        <f>IF(C87="","",ROUND(100*(0.20*H87+0.15*I87+0.15*J87+0.25*K87+0.10*L87+0.05*M87+0.10*N87),0))</f>
        <v/>
      </c>
      <c r="T87" s="2">
        <f>IF(C87="","",IF(OR(F87&lt;PARAMETROS!$B$12,F87&gt;PARAMETROS!$B$13,G87&lt;PARAMETROS!$B$11),"NO APTO",IF(O87&lt;IF(F87&lt;1.6,CONFIG!$B$4,IF(F87&lt;1.7,CONFIG!$B$5,IF(F87&lt;1.8,CONFIG!$B$6,IF(F87&lt;2,CONFIG!$B$7,IF(F87&lt;2.2,CONFIG!$B$8,CONFIG!$B$9))))),"NO APTO",IF(R87&lt;PARAMETROS!$B$14,"NO APTO",IF(S87&gt;=PARAMETROS!$B$10,"ALERTA FUERTE",IF(S87&gt;=PARAMETROS!$B$9,"ALERTA MEDIA","NO APTO"))))))</f>
        <v/>
      </c>
      <c r="U87" s="2">
        <f>IF(T87="","",IF(T87="NO APTO","No cumple uno o más filtros",IF(T87="ALERTA FUERTE","Probabilidad, EV, muestra y score superan filtros","Cumple filtros con confianza media")))</f>
        <v/>
      </c>
    </row>
    <row r="88">
      <c r="A88" s="2">
        <f>IF(C88="","",ROW()-1)</f>
        <v/>
      </c>
      <c r="B88" s="2" t="n"/>
      <c r="C88" s="2" t="n"/>
      <c r="D88" s="2" t="n"/>
      <c r="E88" s="2" t="n"/>
      <c r="F88" s="6" t="n"/>
      <c r="G88" s="2" t="n"/>
      <c r="H88" s="7" t="n"/>
      <c r="I88" s="7" t="n"/>
      <c r="J88" s="7" t="n"/>
      <c r="K88" s="7" t="n"/>
      <c r="L88" s="7" t="n"/>
      <c r="M88" s="7" t="n"/>
      <c r="N88" s="7" t="n"/>
      <c r="O88" s="7">
        <f>IF(C88="","",MAX(0.05,MIN(0.95,0.20*H88+0.15*I88+0.15*J88+0.25*K88+0.10*L88+0.05*M88+0.10*N88)))</f>
        <v/>
      </c>
      <c r="P88" s="7">
        <f>IFERROR(1/F88,"")</f>
        <v/>
      </c>
      <c r="Q88" s="7">
        <f>IF(OR(O88="",P88=""),"",O88-P88)</f>
        <v/>
      </c>
      <c r="R88" s="7">
        <f>IF(OR(O88="",F88=""),"",O88*F88-1)</f>
        <v/>
      </c>
      <c r="S88" s="2">
        <f>IF(C88="","",ROUND(100*(0.20*H88+0.15*I88+0.15*J88+0.25*K88+0.10*L88+0.05*M88+0.10*N88),0))</f>
        <v/>
      </c>
      <c r="T88" s="2">
        <f>IF(C88="","",IF(OR(F88&lt;PARAMETROS!$B$12,F88&gt;PARAMETROS!$B$13,G88&lt;PARAMETROS!$B$11),"NO APTO",IF(O88&lt;IF(F88&lt;1.6,CONFIG!$B$4,IF(F88&lt;1.7,CONFIG!$B$5,IF(F88&lt;1.8,CONFIG!$B$6,IF(F88&lt;2,CONFIG!$B$7,IF(F88&lt;2.2,CONFIG!$B$8,CONFIG!$B$9))))),"NO APTO",IF(R88&lt;PARAMETROS!$B$14,"NO APTO",IF(S88&gt;=PARAMETROS!$B$10,"ALERTA FUERTE",IF(S88&gt;=PARAMETROS!$B$9,"ALERTA MEDIA","NO APTO"))))))</f>
        <v/>
      </c>
      <c r="U88" s="2">
        <f>IF(T88="","",IF(T88="NO APTO","No cumple uno o más filtros",IF(T88="ALERTA FUERTE","Probabilidad, EV, muestra y score superan filtros","Cumple filtros con confianza media")))</f>
        <v/>
      </c>
    </row>
    <row r="89">
      <c r="A89" s="2">
        <f>IF(C89="","",ROW()-1)</f>
        <v/>
      </c>
      <c r="B89" s="2" t="n"/>
      <c r="C89" s="2" t="n"/>
      <c r="D89" s="2" t="n"/>
      <c r="E89" s="2" t="n"/>
      <c r="F89" s="6" t="n"/>
      <c r="G89" s="2" t="n"/>
      <c r="H89" s="7" t="n"/>
      <c r="I89" s="7" t="n"/>
      <c r="J89" s="7" t="n"/>
      <c r="K89" s="7" t="n"/>
      <c r="L89" s="7" t="n"/>
      <c r="M89" s="7" t="n"/>
      <c r="N89" s="7" t="n"/>
      <c r="O89" s="7">
        <f>IF(C89="","",MAX(0.05,MIN(0.95,0.20*H89+0.15*I89+0.15*J89+0.25*K89+0.10*L89+0.05*M89+0.10*N89)))</f>
        <v/>
      </c>
      <c r="P89" s="7">
        <f>IFERROR(1/F89,"")</f>
        <v/>
      </c>
      <c r="Q89" s="7">
        <f>IF(OR(O89="",P89=""),"",O89-P89)</f>
        <v/>
      </c>
      <c r="R89" s="7">
        <f>IF(OR(O89="",F89=""),"",O89*F89-1)</f>
        <v/>
      </c>
      <c r="S89" s="2">
        <f>IF(C89="","",ROUND(100*(0.20*H89+0.15*I89+0.15*J89+0.25*K89+0.10*L89+0.05*M89+0.10*N89),0))</f>
        <v/>
      </c>
      <c r="T89" s="2">
        <f>IF(C89="","",IF(OR(F89&lt;PARAMETROS!$B$12,F89&gt;PARAMETROS!$B$13,G89&lt;PARAMETROS!$B$11),"NO APTO",IF(O89&lt;IF(F89&lt;1.6,CONFIG!$B$4,IF(F89&lt;1.7,CONFIG!$B$5,IF(F89&lt;1.8,CONFIG!$B$6,IF(F89&lt;2,CONFIG!$B$7,IF(F89&lt;2.2,CONFIG!$B$8,CONFIG!$B$9))))),"NO APTO",IF(R89&lt;PARAMETROS!$B$14,"NO APTO",IF(S89&gt;=PARAMETROS!$B$10,"ALERTA FUERTE",IF(S89&gt;=PARAMETROS!$B$9,"ALERTA MEDIA","NO APTO"))))))</f>
        <v/>
      </c>
      <c r="U89" s="2">
        <f>IF(T89="","",IF(T89="NO APTO","No cumple uno o más filtros",IF(T89="ALERTA FUERTE","Probabilidad, EV, muestra y score superan filtros","Cumple filtros con confianza media")))</f>
        <v/>
      </c>
    </row>
    <row r="90">
      <c r="A90" s="2">
        <f>IF(C90="","",ROW()-1)</f>
        <v/>
      </c>
      <c r="B90" s="2" t="n"/>
      <c r="C90" s="2" t="n"/>
      <c r="D90" s="2" t="n"/>
      <c r="E90" s="2" t="n"/>
      <c r="F90" s="6" t="n"/>
      <c r="G90" s="2" t="n"/>
      <c r="H90" s="7" t="n"/>
      <c r="I90" s="7" t="n"/>
      <c r="J90" s="7" t="n"/>
      <c r="K90" s="7" t="n"/>
      <c r="L90" s="7" t="n"/>
      <c r="M90" s="7" t="n"/>
      <c r="N90" s="7" t="n"/>
      <c r="O90" s="7">
        <f>IF(C90="","",MAX(0.05,MIN(0.95,0.20*H90+0.15*I90+0.15*J90+0.25*K90+0.10*L90+0.05*M90+0.10*N90)))</f>
        <v/>
      </c>
      <c r="P90" s="7">
        <f>IFERROR(1/F90,"")</f>
        <v/>
      </c>
      <c r="Q90" s="7">
        <f>IF(OR(O90="",P90=""),"",O90-P90)</f>
        <v/>
      </c>
      <c r="R90" s="7">
        <f>IF(OR(O90="",F90=""),"",O90*F90-1)</f>
        <v/>
      </c>
      <c r="S90" s="2">
        <f>IF(C90="","",ROUND(100*(0.20*H90+0.15*I90+0.15*J90+0.25*K90+0.10*L90+0.05*M90+0.10*N90),0))</f>
        <v/>
      </c>
      <c r="T90" s="2">
        <f>IF(C90="","",IF(OR(F90&lt;PARAMETROS!$B$12,F90&gt;PARAMETROS!$B$13,G90&lt;PARAMETROS!$B$11),"NO APTO",IF(O90&lt;IF(F90&lt;1.6,CONFIG!$B$4,IF(F90&lt;1.7,CONFIG!$B$5,IF(F90&lt;1.8,CONFIG!$B$6,IF(F90&lt;2,CONFIG!$B$7,IF(F90&lt;2.2,CONFIG!$B$8,CONFIG!$B$9))))),"NO APTO",IF(R90&lt;PARAMETROS!$B$14,"NO APTO",IF(S90&gt;=PARAMETROS!$B$10,"ALERTA FUERTE",IF(S90&gt;=PARAMETROS!$B$9,"ALERTA MEDIA","NO APTO"))))))</f>
        <v/>
      </c>
      <c r="U90" s="2">
        <f>IF(T90="","",IF(T90="NO APTO","No cumple uno o más filtros",IF(T90="ALERTA FUERTE","Probabilidad, EV, muestra y score superan filtros","Cumple filtros con confianza media")))</f>
        <v/>
      </c>
    </row>
    <row r="91">
      <c r="A91" s="2">
        <f>IF(C91="","",ROW()-1)</f>
        <v/>
      </c>
      <c r="B91" s="2" t="n"/>
      <c r="C91" s="2" t="n"/>
      <c r="D91" s="2" t="n"/>
      <c r="E91" s="2" t="n"/>
      <c r="F91" s="6" t="n"/>
      <c r="G91" s="2" t="n"/>
      <c r="H91" s="7" t="n"/>
      <c r="I91" s="7" t="n"/>
      <c r="J91" s="7" t="n"/>
      <c r="K91" s="7" t="n"/>
      <c r="L91" s="7" t="n"/>
      <c r="M91" s="7" t="n"/>
      <c r="N91" s="7" t="n"/>
      <c r="O91" s="7">
        <f>IF(C91="","",MAX(0.05,MIN(0.95,0.20*H91+0.15*I91+0.15*J91+0.25*K91+0.10*L91+0.05*M91+0.10*N91)))</f>
        <v/>
      </c>
      <c r="P91" s="7">
        <f>IFERROR(1/F91,"")</f>
        <v/>
      </c>
      <c r="Q91" s="7">
        <f>IF(OR(O91="",P91=""),"",O91-P91)</f>
        <v/>
      </c>
      <c r="R91" s="7">
        <f>IF(OR(O91="",F91=""),"",O91*F91-1)</f>
        <v/>
      </c>
      <c r="S91" s="2">
        <f>IF(C91="","",ROUND(100*(0.20*H91+0.15*I91+0.15*J91+0.25*K91+0.10*L91+0.05*M91+0.10*N91),0))</f>
        <v/>
      </c>
      <c r="T91" s="2">
        <f>IF(C91="","",IF(OR(F91&lt;PARAMETROS!$B$12,F91&gt;PARAMETROS!$B$13,G91&lt;PARAMETROS!$B$11),"NO APTO",IF(O91&lt;IF(F91&lt;1.6,CONFIG!$B$4,IF(F91&lt;1.7,CONFIG!$B$5,IF(F91&lt;1.8,CONFIG!$B$6,IF(F91&lt;2,CONFIG!$B$7,IF(F91&lt;2.2,CONFIG!$B$8,CONFIG!$B$9))))),"NO APTO",IF(R91&lt;PARAMETROS!$B$14,"NO APTO",IF(S91&gt;=PARAMETROS!$B$10,"ALERTA FUERTE",IF(S91&gt;=PARAMETROS!$B$9,"ALERTA MEDIA","NO APTO"))))))</f>
        <v/>
      </c>
      <c r="U91" s="2">
        <f>IF(T91="","",IF(T91="NO APTO","No cumple uno o más filtros",IF(T91="ALERTA FUERTE","Probabilidad, EV, muestra y score superan filtros","Cumple filtros con confianza media")))</f>
        <v/>
      </c>
    </row>
    <row r="92">
      <c r="A92" s="2">
        <f>IF(C92="","",ROW()-1)</f>
        <v/>
      </c>
      <c r="B92" s="2" t="n"/>
      <c r="C92" s="2" t="n"/>
      <c r="D92" s="2" t="n"/>
      <c r="E92" s="2" t="n"/>
      <c r="F92" s="6" t="n"/>
      <c r="G92" s="2" t="n"/>
      <c r="H92" s="7" t="n"/>
      <c r="I92" s="7" t="n"/>
      <c r="J92" s="7" t="n"/>
      <c r="K92" s="7" t="n"/>
      <c r="L92" s="7" t="n"/>
      <c r="M92" s="7" t="n"/>
      <c r="N92" s="7" t="n"/>
      <c r="O92" s="7">
        <f>IF(C92="","",MAX(0.05,MIN(0.95,0.20*H92+0.15*I92+0.15*J92+0.25*K92+0.10*L92+0.05*M92+0.10*N92)))</f>
        <v/>
      </c>
      <c r="P92" s="7">
        <f>IFERROR(1/F92,"")</f>
        <v/>
      </c>
      <c r="Q92" s="7">
        <f>IF(OR(O92="",P92=""),"",O92-P92)</f>
        <v/>
      </c>
      <c r="R92" s="7">
        <f>IF(OR(O92="",F92=""),"",O92*F92-1)</f>
        <v/>
      </c>
      <c r="S92" s="2">
        <f>IF(C92="","",ROUND(100*(0.20*H92+0.15*I92+0.15*J92+0.25*K92+0.10*L92+0.05*M92+0.10*N92),0))</f>
        <v/>
      </c>
      <c r="T92" s="2">
        <f>IF(C92="","",IF(OR(F92&lt;PARAMETROS!$B$12,F92&gt;PARAMETROS!$B$13,G92&lt;PARAMETROS!$B$11),"NO APTO",IF(O92&lt;IF(F92&lt;1.6,CONFIG!$B$4,IF(F92&lt;1.7,CONFIG!$B$5,IF(F92&lt;1.8,CONFIG!$B$6,IF(F92&lt;2,CONFIG!$B$7,IF(F92&lt;2.2,CONFIG!$B$8,CONFIG!$B$9))))),"NO APTO",IF(R92&lt;PARAMETROS!$B$14,"NO APTO",IF(S92&gt;=PARAMETROS!$B$10,"ALERTA FUERTE",IF(S92&gt;=PARAMETROS!$B$9,"ALERTA MEDIA","NO APTO"))))))</f>
        <v/>
      </c>
      <c r="U92" s="2">
        <f>IF(T92="","",IF(T92="NO APTO","No cumple uno o más filtros",IF(T92="ALERTA FUERTE","Probabilidad, EV, muestra y score superan filtros","Cumple filtros con confianza media")))</f>
        <v/>
      </c>
    </row>
    <row r="93">
      <c r="A93" s="2">
        <f>IF(C93="","",ROW()-1)</f>
        <v/>
      </c>
      <c r="B93" s="2" t="n"/>
      <c r="C93" s="2" t="n"/>
      <c r="D93" s="2" t="n"/>
      <c r="E93" s="2" t="n"/>
      <c r="F93" s="6" t="n"/>
      <c r="G93" s="2" t="n"/>
      <c r="H93" s="7" t="n"/>
      <c r="I93" s="7" t="n"/>
      <c r="J93" s="7" t="n"/>
      <c r="K93" s="7" t="n"/>
      <c r="L93" s="7" t="n"/>
      <c r="M93" s="7" t="n"/>
      <c r="N93" s="7" t="n"/>
      <c r="O93" s="7">
        <f>IF(C93="","",MAX(0.05,MIN(0.95,0.20*H93+0.15*I93+0.15*J93+0.25*K93+0.10*L93+0.05*M93+0.10*N93)))</f>
        <v/>
      </c>
      <c r="P93" s="7">
        <f>IFERROR(1/F93,"")</f>
        <v/>
      </c>
      <c r="Q93" s="7">
        <f>IF(OR(O93="",P93=""),"",O93-P93)</f>
        <v/>
      </c>
      <c r="R93" s="7">
        <f>IF(OR(O93="",F93=""),"",O93*F93-1)</f>
        <v/>
      </c>
      <c r="S93" s="2">
        <f>IF(C93="","",ROUND(100*(0.20*H93+0.15*I93+0.15*J93+0.25*K93+0.10*L93+0.05*M93+0.10*N93),0))</f>
        <v/>
      </c>
      <c r="T93" s="2">
        <f>IF(C93="","",IF(OR(F93&lt;PARAMETROS!$B$12,F93&gt;PARAMETROS!$B$13,G93&lt;PARAMETROS!$B$11),"NO APTO",IF(O93&lt;IF(F93&lt;1.6,CONFIG!$B$4,IF(F93&lt;1.7,CONFIG!$B$5,IF(F93&lt;1.8,CONFIG!$B$6,IF(F93&lt;2,CONFIG!$B$7,IF(F93&lt;2.2,CONFIG!$B$8,CONFIG!$B$9))))),"NO APTO",IF(R93&lt;PARAMETROS!$B$14,"NO APTO",IF(S93&gt;=PARAMETROS!$B$10,"ALERTA FUERTE",IF(S93&gt;=PARAMETROS!$B$9,"ALERTA MEDIA","NO APTO"))))))</f>
        <v/>
      </c>
      <c r="U93" s="2">
        <f>IF(T93="","",IF(T93="NO APTO","No cumple uno o más filtros",IF(T93="ALERTA FUERTE","Probabilidad, EV, muestra y score superan filtros","Cumple filtros con confianza media")))</f>
        <v/>
      </c>
    </row>
    <row r="94">
      <c r="A94" s="2">
        <f>IF(C94="","",ROW()-1)</f>
        <v/>
      </c>
      <c r="B94" s="2" t="n"/>
      <c r="C94" s="2" t="n"/>
      <c r="D94" s="2" t="n"/>
      <c r="E94" s="2" t="n"/>
      <c r="F94" s="6" t="n"/>
      <c r="G94" s="2" t="n"/>
      <c r="H94" s="7" t="n"/>
      <c r="I94" s="7" t="n"/>
      <c r="J94" s="7" t="n"/>
      <c r="K94" s="7" t="n"/>
      <c r="L94" s="7" t="n"/>
      <c r="M94" s="7" t="n"/>
      <c r="N94" s="7" t="n"/>
      <c r="O94" s="7">
        <f>IF(C94="","",MAX(0.05,MIN(0.95,0.20*H94+0.15*I94+0.15*J94+0.25*K94+0.10*L94+0.05*M94+0.10*N94)))</f>
        <v/>
      </c>
      <c r="P94" s="7">
        <f>IFERROR(1/F94,"")</f>
        <v/>
      </c>
      <c r="Q94" s="7">
        <f>IF(OR(O94="",P94=""),"",O94-P94)</f>
        <v/>
      </c>
      <c r="R94" s="7">
        <f>IF(OR(O94="",F94=""),"",O94*F94-1)</f>
        <v/>
      </c>
      <c r="S94" s="2">
        <f>IF(C94="","",ROUND(100*(0.20*H94+0.15*I94+0.15*J94+0.25*K94+0.10*L94+0.05*M94+0.10*N94),0))</f>
        <v/>
      </c>
      <c r="T94" s="2">
        <f>IF(C94="","",IF(OR(F94&lt;PARAMETROS!$B$12,F94&gt;PARAMETROS!$B$13,G94&lt;PARAMETROS!$B$11),"NO APTO",IF(O94&lt;IF(F94&lt;1.6,CONFIG!$B$4,IF(F94&lt;1.7,CONFIG!$B$5,IF(F94&lt;1.8,CONFIG!$B$6,IF(F94&lt;2,CONFIG!$B$7,IF(F94&lt;2.2,CONFIG!$B$8,CONFIG!$B$9))))),"NO APTO",IF(R94&lt;PARAMETROS!$B$14,"NO APTO",IF(S94&gt;=PARAMETROS!$B$10,"ALERTA FUERTE",IF(S94&gt;=PARAMETROS!$B$9,"ALERTA MEDIA","NO APTO"))))))</f>
        <v/>
      </c>
      <c r="U94" s="2">
        <f>IF(T94="","",IF(T94="NO APTO","No cumple uno o más filtros",IF(T94="ALERTA FUERTE","Probabilidad, EV, muestra y score superan filtros","Cumple filtros con confianza media")))</f>
        <v/>
      </c>
    </row>
    <row r="95">
      <c r="A95" s="2">
        <f>IF(C95="","",ROW()-1)</f>
        <v/>
      </c>
      <c r="B95" s="2" t="n"/>
      <c r="C95" s="2" t="n"/>
      <c r="D95" s="2" t="n"/>
      <c r="E95" s="2" t="n"/>
      <c r="F95" s="6" t="n"/>
      <c r="G95" s="2" t="n"/>
      <c r="H95" s="7" t="n"/>
      <c r="I95" s="7" t="n"/>
      <c r="J95" s="7" t="n"/>
      <c r="K95" s="7" t="n"/>
      <c r="L95" s="7" t="n"/>
      <c r="M95" s="7" t="n"/>
      <c r="N95" s="7" t="n"/>
      <c r="O95" s="7">
        <f>IF(C95="","",MAX(0.05,MIN(0.95,0.20*H95+0.15*I95+0.15*J95+0.25*K95+0.10*L95+0.05*M95+0.10*N95)))</f>
        <v/>
      </c>
      <c r="P95" s="7">
        <f>IFERROR(1/F95,"")</f>
        <v/>
      </c>
      <c r="Q95" s="7">
        <f>IF(OR(O95="",P95=""),"",O95-P95)</f>
        <v/>
      </c>
      <c r="R95" s="7">
        <f>IF(OR(O95="",F95=""),"",O95*F95-1)</f>
        <v/>
      </c>
      <c r="S95" s="2">
        <f>IF(C95="","",ROUND(100*(0.20*H95+0.15*I95+0.15*J95+0.25*K95+0.10*L95+0.05*M95+0.10*N95),0))</f>
        <v/>
      </c>
      <c r="T95" s="2">
        <f>IF(C95="","",IF(OR(F95&lt;PARAMETROS!$B$12,F95&gt;PARAMETROS!$B$13,G95&lt;PARAMETROS!$B$11),"NO APTO",IF(O95&lt;IF(F95&lt;1.6,CONFIG!$B$4,IF(F95&lt;1.7,CONFIG!$B$5,IF(F95&lt;1.8,CONFIG!$B$6,IF(F95&lt;2,CONFIG!$B$7,IF(F95&lt;2.2,CONFIG!$B$8,CONFIG!$B$9))))),"NO APTO",IF(R95&lt;PARAMETROS!$B$14,"NO APTO",IF(S95&gt;=PARAMETROS!$B$10,"ALERTA FUERTE",IF(S95&gt;=PARAMETROS!$B$9,"ALERTA MEDIA","NO APTO"))))))</f>
        <v/>
      </c>
      <c r="U95" s="2">
        <f>IF(T95="","",IF(T95="NO APTO","No cumple uno o más filtros",IF(T95="ALERTA FUERTE","Probabilidad, EV, muestra y score superan filtros","Cumple filtros con confianza media")))</f>
        <v/>
      </c>
    </row>
    <row r="96">
      <c r="A96" s="2">
        <f>IF(C96="","",ROW()-1)</f>
        <v/>
      </c>
      <c r="B96" s="2" t="n"/>
      <c r="C96" s="2" t="n"/>
      <c r="D96" s="2" t="n"/>
      <c r="E96" s="2" t="n"/>
      <c r="F96" s="6" t="n"/>
      <c r="G96" s="2" t="n"/>
      <c r="H96" s="7" t="n"/>
      <c r="I96" s="7" t="n"/>
      <c r="J96" s="7" t="n"/>
      <c r="K96" s="7" t="n"/>
      <c r="L96" s="7" t="n"/>
      <c r="M96" s="7" t="n"/>
      <c r="N96" s="7" t="n"/>
      <c r="O96" s="7">
        <f>IF(C96="","",MAX(0.05,MIN(0.95,0.20*H96+0.15*I96+0.15*J96+0.25*K96+0.10*L96+0.05*M96+0.10*N96)))</f>
        <v/>
      </c>
      <c r="P96" s="7">
        <f>IFERROR(1/F96,"")</f>
        <v/>
      </c>
      <c r="Q96" s="7">
        <f>IF(OR(O96="",P96=""),"",O96-P96)</f>
        <v/>
      </c>
      <c r="R96" s="7">
        <f>IF(OR(O96="",F96=""),"",O96*F96-1)</f>
        <v/>
      </c>
      <c r="S96" s="2">
        <f>IF(C96="","",ROUND(100*(0.20*H96+0.15*I96+0.15*J96+0.25*K96+0.10*L96+0.05*M96+0.10*N96),0))</f>
        <v/>
      </c>
      <c r="T96" s="2">
        <f>IF(C96="","",IF(OR(F96&lt;PARAMETROS!$B$12,F96&gt;PARAMETROS!$B$13,G96&lt;PARAMETROS!$B$11),"NO APTO",IF(O96&lt;IF(F96&lt;1.6,CONFIG!$B$4,IF(F96&lt;1.7,CONFIG!$B$5,IF(F96&lt;1.8,CONFIG!$B$6,IF(F96&lt;2,CONFIG!$B$7,IF(F96&lt;2.2,CONFIG!$B$8,CONFIG!$B$9))))),"NO APTO",IF(R96&lt;PARAMETROS!$B$14,"NO APTO",IF(S96&gt;=PARAMETROS!$B$10,"ALERTA FUERTE",IF(S96&gt;=PARAMETROS!$B$9,"ALERTA MEDIA","NO APTO"))))))</f>
        <v/>
      </c>
      <c r="U96" s="2">
        <f>IF(T96="","",IF(T96="NO APTO","No cumple uno o más filtros",IF(T96="ALERTA FUERTE","Probabilidad, EV, muestra y score superan filtros","Cumple filtros con confianza media")))</f>
        <v/>
      </c>
    </row>
    <row r="97">
      <c r="A97" s="2">
        <f>IF(C97="","",ROW()-1)</f>
        <v/>
      </c>
      <c r="B97" s="2" t="n"/>
      <c r="C97" s="2" t="n"/>
      <c r="D97" s="2" t="n"/>
      <c r="E97" s="2" t="n"/>
      <c r="F97" s="6" t="n"/>
      <c r="G97" s="2" t="n"/>
      <c r="H97" s="7" t="n"/>
      <c r="I97" s="7" t="n"/>
      <c r="J97" s="7" t="n"/>
      <c r="K97" s="7" t="n"/>
      <c r="L97" s="7" t="n"/>
      <c r="M97" s="7" t="n"/>
      <c r="N97" s="7" t="n"/>
      <c r="O97" s="7">
        <f>IF(C97="","",MAX(0.05,MIN(0.95,0.20*H97+0.15*I97+0.15*J97+0.25*K97+0.10*L97+0.05*M97+0.10*N97)))</f>
        <v/>
      </c>
      <c r="P97" s="7">
        <f>IFERROR(1/F97,"")</f>
        <v/>
      </c>
      <c r="Q97" s="7">
        <f>IF(OR(O97="",P97=""),"",O97-P97)</f>
        <v/>
      </c>
      <c r="R97" s="7">
        <f>IF(OR(O97="",F97=""),"",O97*F97-1)</f>
        <v/>
      </c>
      <c r="S97" s="2">
        <f>IF(C97="","",ROUND(100*(0.20*H97+0.15*I97+0.15*J97+0.25*K97+0.10*L97+0.05*M97+0.10*N97),0))</f>
        <v/>
      </c>
      <c r="T97" s="2">
        <f>IF(C97="","",IF(OR(F97&lt;PARAMETROS!$B$12,F97&gt;PARAMETROS!$B$13,G97&lt;PARAMETROS!$B$11),"NO APTO",IF(O97&lt;IF(F97&lt;1.6,CONFIG!$B$4,IF(F97&lt;1.7,CONFIG!$B$5,IF(F97&lt;1.8,CONFIG!$B$6,IF(F97&lt;2,CONFIG!$B$7,IF(F97&lt;2.2,CONFIG!$B$8,CONFIG!$B$9))))),"NO APTO",IF(R97&lt;PARAMETROS!$B$14,"NO APTO",IF(S97&gt;=PARAMETROS!$B$10,"ALERTA FUERTE",IF(S97&gt;=PARAMETROS!$B$9,"ALERTA MEDIA","NO APTO"))))))</f>
        <v/>
      </c>
      <c r="U97" s="2">
        <f>IF(T97="","",IF(T97="NO APTO","No cumple uno o más filtros",IF(T97="ALERTA FUERTE","Probabilidad, EV, muestra y score superan filtros","Cumple filtros con confianza media")))</f>
        <v/>
      </c>
    </row>
    <row r="98">
      <c r="A98" s="2">
        <f>IF(C98="","",ROW()-1)</f>
        <v/>
      </c>
      <c r="B98" s="2" t="n"/>
      <c r="C98" s="2" t="n"/>
      <c r="D98" s="2" t="n"/>
      <c r="E98" s="2" t="n"/>
      <c r="F98" s="6" t="n"/>
      <c r="G98" s="2" t="n"/>
      <c r="H98" s="7" t="n"/>
      <c r="I98" s="7" t="n"/>
      <c r="J98" s="7" t="n"/>
      <c r="K98" s="7" t="n"/>
      <c r="L98" s="7" t="n"/>
      <c r="M98" s="7" t="n"/>
      <c r="N98" s="7" t="n"/>
      <c r="O98" s="7">
        <f>IF(C98="","",MAX(0.05,MIN(0.95,0.20*H98+0.15*I98+0.15*J98+0.25*K98+0.10*L98+0.05*M98+0.10*N98)))</f>
        <v/>
      </c>
      <c r="P98" s="7">
        <f>IFERROR(1/F98,"")</f>
        <v/>
      </c>
      <c r="Q98" s="7">
        <f>IF(OR(O98="",P98=""),"",O98-P98)</f>
        <v/>
      </c>
      <c r="R98" s="7">
        <f>IF(OR(O98="",F98=""),"",O98*F98-1)</f>
        <v/>
      </c>
      <c r="S98" s="2">
        <f>IF(C98="","",ROUND(100*(0.20*H98+0.15*I98+0.15*J98+0.25*K98+0.10*L98+0.05*M98+0.10*N98),0))</f>
        <v/>
      </c>
      <c r="T98" s="2">
        <f>IF(C98="","",IF(OR(F98&lt;PARAMETROS!$B$12,F98&gt;PARAMETROS!$B$13,G98&lt;PARAMETROS!$B$11),"NO APTO",IF(O98&lt;IF(F98&lt;1.6,CONFIG!$B$4,IF(F98&lt;1.7,CONFIG!$B$5,IF(F98&lt;1.8,CONFIG!$B$6,IF(F98&lt;2,CONFIG!$B$7,IF(F98&lt;2.2,CONFIG!$B$8,CONFIG!$B$9))))),"NO APTO",IF(R98&lt;PARAMETROS!$B$14,"NO APTO",IF(S98&gt;=PARAMETROS!$B$10,"ALERTA FUERTE",IF(S98&gt;=PARAMETROS!$B$9,"ALERTA MEDIA","NO APTO"))))))</f>
        <v/>
      </c>
      <c r="U98" s="2">
        <f>IF(T98="","",IF(T98="NO APTO","No cumple uno o más filtros",IF(T98="ALERTA FUERTE","Probabilidad, EV, muestra y score superan filtros","Cumple filtros con confianza media")))</f>
        <v/>
      </c>
    </row>
    <row r="99">
      <c r="A99" s="2">
        <f>IF(C99="","",ROW()-1)</f>
        <v/>
      </c>
      <c r="B99" s="2" t="n"/>
      <c r="C99" s="2" t="n"/>
      <c r="D99" s="2" t="n"/>
      <c r="E99" s="2" t="n"/>
      <c r="F99" s="6" t="n"/>
      <c r="G99" s="2" t="n"/>
      <c r="H99" s="7" t="n"/>
      <c r="I99" s="7" t="n"/>
      <c r="J99" s="7" t="n"/>
      <c r="K99" s="7" t="n"/>
      <c r="L99" s="7" t="n"/>
      <c r="M99" s="7" t="n"/>
      <c r="N99" s="7" t="n"/>
      <c r="O99" s="7">
        <f>IF(C99="","",MAX(0.05,MIN(0.95,0.20*H99+0.15*I99+0.15*J99+0.25*K99+0.10*L99+0.05*M99+0.10*N99)))</f>
        <v/>
      </c>
      <c r="P99" s="7">
        <f>IFERROR(1/F99,"")</f>
        <v/>
      </c>
      <c r="Q99" s="7">
        <f>IF(OR(O99="",P99=""),"",O99-P99)</f>
        <v/>
      </c>
      <c r="R99" s="7">
        <f>IF(OR(O99="",F99=""),"",O99*F99-1)</f>
        <v/>
      </c>
      <c r="S99" s="2">
        <f>IF(C99="","",ROUND(100*(0.20*H99+0.15*I99+0.15*J99+0.25*K99+0.10*L99+0.05*M99+0.10*N99),0))</f>
        <v/>
      </c>
      <c r="T99" s="2">
        <f>IF(C99="","",IF(OR(F99&lt;PARAMETROS!$B$12,F99&gt;PARAMETROS!$B$13,G99&lt;PARAMETROS!$B$11),"NO APTO",IF(O99&lt;IF(F99&lt;1.6,CONFIG!$B$4,IF(F99&lt;1.7,CONFIG!$B$5,IF(F99&lt;1.8,CONFIG!$B$6,IF(F99&lt;2,CONFIG!$B$7,IF(F99&lt;2.2,CONFIG!$B$8,CONFIG!$B$9))))),"NO APTO",IF(R99&lt;PARAMETROS!$B$14,"NO APTO",IF(S99&gt;=PARAMETROS!$B$10,"ALERTA FUERTE",IF(S99&gt;=PARAMETROS!$B$9,"ALERTA MEDIA","NO APTO"))))))</f>
        <v/>
      </c>
      <c r="U99" s="2">
        <f>IF(T99="","",IF(T99="NO APTO","No cumple uno o más filtros",IF(T99="ALERTA FUERTE","Probabilidad, EV, muestra y score superan filtros","Cumple filtros con confianza media")))</f>
        <v/>
      </c>
    </row>
    <row r="100">
      <c r="A100" s="2">
        <f>IF(C100="","",ROW()-1)</f>
        <v/>
      </c>
      <c r="B100" s="2" t="n"/>
      <c r="C100" s="2" t="n"/>
      <c r="D100" s="2" t="n"/>
      <c r="E100" s="2" t="n"/>
      <c r="F100" s="6" t="n"/>
      <c r="G100" s="2" t="n"/>
      <c r="H100" s="7" t="n"/>
      <c r="I100" s="7" t="n"/>
      <c r="J100" s="7" t="n"/>
      <c r="K100" s="7" t="n"/>
      <c r="L100" s="7" t="n"/>
      <c r="M100" s="7" t="n"/>
      <c r="N100" s="7" t="n"/>
      <c r="O100" s="7">
        <f>IF(C100="","",MAX(0.05,MIN(0.95,0.20*H100+0.15*I100+0.15*J100+0.25*K100+0.10*L100+0.05*M100+0.10*N100)))</f>
        <v/>
      </c>
      <c r="P100" s="7">
        <f>IFERROR(1/F100,"")</f>
        <v/>
      </c>
      <c r="Q100" s="7">
        <f>IF(OR(O100="",P100=""),"",O100-P100)</f>
        <v/>
      </c>
      <c r="R100" s="7">
        <f>IF(OR(O100="",F100=""),"",O100*F100-1)</f>
        <v/>
      </c>
      <c r="S100" s="2">
        <f>IF(C100="","",ROUND(100*(0.20*H100+0.15*I100+0.15*J100+0.25*K100+0.10*L100+0.05*M100+0.10*N100),0))</f>
        <v/>
      </c>
      <c r="T100" s="2">
        <f>IF(C100="","",IF(OR(F100&lt;PARAMETROS!$B$12,F100&gt;PARAMETROS!$B$13,G100&lt;PARAMETROS!$B$11),"NO APTO",IF(O100&lt;IF(F100&lt;1.6,CONFIG!$B$4,IF(F100&lt;1.7,CONFIG!$B$5,IF(F100&lt;1.8,CONFIG!$B$6,IF(F100&lt;2,CONFIG!$B$7,IF(F100&lt;2.2,CONFIG!$B$8,CONFIG!$B$9))))),"NO APTO",IF(R100&lt;PARAMETROS!$B$14,"NO APTO",IF(S100&gt;=PARAMETROS!$B$10,"ALERTA FUERTE",IF(S100&gt;=PARAMETROS!$B$9,"ALERTA MEDIA","NO APTO"))))))</f>
        <v/>
      </c>
      <c r="U100" s="2">
        <f>IF(T100="","",IF(T100="NO APTO","No cumple uno o más filtros",IF(T100="ALERTA FUERTE","Probabilidad, EV, muestra y score superan filtros","Cumple filtros con confianza media")))</f>
        <v/>
      </c>
    </row>
    <row r="101">
      <c r="A101" s="2">
        <f>IF(C101="","",ROW()-1)</f>
        <v/>
      </c>
      <c r="B101" s="2" t="n"/>
      <c r="C101" s="2" t="n"/>
      <c r="D101" s="2" t="n"/>
      <c r="E101" s="2" t="n"/>
      <c r="F101" s="6" t="n"/>
      <c r="G101" s="2" t="n"/>
      <c r="H101" s="7" t="n"/>
      <c r="I101" s="7" t="n"/>
      <c r="J101" s="7" t="n"/>
      <c r="K101" s="7" t="n"/>
      <c r="L101" s="7" t="n"/>
      <c r="M101" s="7" t="n"/>
      <c r="N101" s="7" t="n"/>
      <c r="O101" s="7">
        <f>IF(C101="","",MAX(0.05,MIN(0.95,0.20*H101+0.15*I101+0.15*J101+0.25*K101+0.10*L101+0.05*M101+0.10*N101)))</f>
        <v/>
      </c>
      <c r="P101" s="7">
        <f>IFERROR(1/F101,"")</f>
        <v/>
      </c>
      <c r="Q101" s="7">
        <f>IF(OR(O101="",P101=""),"",O101-P101)</f>
        <v/>
      </c>
      <c r="R101" s="7">
        <f>IF(OR(O101="",F101=""),"",O101*F101-1)</f>
        <v/>
      </c>
      <c r="S101" s="2">
        <f>IF(C101="","",ROUND(100*(0.20*H101+0.15*I101+0.15*J101+0.25*K101+0.10*L101+0.05*M101+0.10*N101),0))</f>
        <v/>
      </c>
      <c r="T101" s="2">
        <f>IF(C101="","",IF(OR(F101&lt;PARAMETROS!$B$12,F101&gt;PARAMETROS!$B$13,G101&lt;PARAMETROS!$B$11),"NO APTO",IF(O101&lt;IF(F101&lt;1.6,CONFIG!$B$4,IF(F101&lt;1.7,CONFIG!$B$5,IF(F101&lt;1.8,CONFIG!$B$6,IF(F101&lt;2,CONFIG!$B$7,IF(F101&lt;2.2,CONFIG!$B$8,CONFIG!$B$9))))),"NO APTO",IF(R101&lt;PARAMETROS!$B$14,"NO APTO",IF(S101&gt;=PARAMETROS!$B$10,"ALERTA FUERTE",IF(S101&gt;=PARAMETROS!$B$9,"ALERTA MEDIA","NO APTO"))))))</f>
        <v/>
      </c>
      <c r="U101" s="2">
        <f>IF(T101="","",IF(T101="NO APTO","No cumple uno o más filtros",IF(T101="ALERTA FUERTE","Probabilidad, EV, muestra y score superan filtros","Cumple filtros con confianza media")))</f>
        <v/>
      </c>
    </row>
    <row r="102">
      <c r="A102" s="2">
        <f>IF(C102="","",ROW()-1)</f>
        <v/>
      </c>
      <c r="B102" s="2" t="n"/>
      <c r="C102" s="2" t="n"/>
      <c r="D102" s="2" t="n"/>
      <c r="E102" s="2" t="n"/>
      <c r="F102" s="6" t="n"/>
      <c r="G102" s="2" t="n"/>
      <c r="H102" s="7" t="n"/>
      <c r="I102" s="7" t="n"/>
      <c r="J102" s="7" t="n"/>
      <c r="K102" s="7" t="n"/>
      <c r="L102" s="7" t="n"/>
      <c r="M102" s="7" t="n"/>
      <c r="N102" s="7" t="n"/>
      <c r="O102" s="7">
        <f>IF(C102="","",MAX(0.05,MIN(0.95,0.20*H102+0.15*I102+0.15*J102+0.25*K102+0.10*L102+0.05*M102+0.10*N102)))</f>
        <v/>
      </c>
      <c r="P102" s="7">
        <f>IFERROR(1/F102,"")</f>
        <v/>
      </c>
      <c r="Q102" s="7">
        <f>IF(OR(O102="",P102=""),"",O102-P102)</f>
        <v/>
      </c>
      <c r="R102" s="7">
        <f>IF(OR(O102="",F102=""),"",O102*F102-1)</f>
        <v/>
      </c>
      <c r="S102" s="2">
        <f>IF(C102="","",ROUND(100*(0.20*H102+0.15*I102+0.15*J102+0.25*K102+0.10*L102+0.05*M102+0.10*N102),0))</f>
        <v/>
      </c>
      <c r="T102" s="2">
        <f>IF(C102="","",IF(OR(F102&lt;PARAMETROS!$B$12,F102&gt;PARAMETROS!$B$13,G102&lt;PARAMETROS!$B$11),"NO APTO",IF(O102&lt;IF(F102&lt;1.6,CONFIG!$B$4,IF(F102&lt;1.7,CONFIG!$B$5,IF(F102&lt;1.8,CONFIG!$B$6,IF(F102&lt;2,CONFIG!$B$7,IF(F102&lt;2.2,CONFIG!$B$8,CONFIG!$B$9))))),"NO APTO",IF(R102&lt;PARAMETROS!$B$14,"NO APTO",IF(S102&gt;=PARAMETROS!$B$10,"ALERTA FUERTE",IF(S102&gt;=PARAMETROS!$B$9,"ALERTA MEDIA","NO APTO"))))))</f>
        <v/>
      </c>
      <c r="U102" s="2">
        <f>IF(T102="","",IF(T102="NO APTO","No cumple uno o más filtros",IF(T102="ALERTA FUERTE","Probabilidad, EV, muestra y score superan filtros","Cumple filtros con confianza media")))</f>
        <v/>
      </c>
    </row>
    <row r="103">
      <c r="A103" s="2">
        <f>IF(C103="","",ROW()-1)</f>
        <v/>
      </c>
      <c r="B103" s="2" t="n"/>
      <c r="C103" s="2" t="n"/>
      <c r="D103" s="2" t="n"/>
      <c r="E103" s="2" t="n"/>
      <c r="F103" s="6" t="n"/>
      <c r="G103" s="2" t="n"/>
      <c r="H103" s="7" t="n"/>
      <c r="I103" s="7" t="n"/>
      <c r="J103" s="7" t="n"/>
      <c r="K103" s="7" t="n"/>
      <c r="L103" s="7" t="n"/>
      <c r="M103" s="7" t="n"/>
      <c r="N103" s="7" t="n"/>
      <c r="O103" s="7">
        <f>IF(C103="","",MAX(0.05,MIN(0.95,0.20*H103+0.15*I103+0.15*J103+0.25*K103+0.10*L103+0.05*M103+0.10*N103)))</f>
        <v/>
      </c>
      <c r="P103" s="7">
        <f>IFERROR(1/F103,"")</f>
        <v/>
      </c>
      <c r="Q103" s="7">
        <f>IF(OR(O103="",P103=""),"",O103-P103)</f>
        <v/>
      </c>
      <c r="R103" s="7">
        <f>IF(OR(O103="",F103=""),"",O103*F103-1)</f>
        <v/>
      </c>
      <c r="S103" s="2">
        <f>IF(C103="","",ROUND(100*(0.20*H103+0.15*I103+0.15*J103+0.25*K103+0.10*L103+0.05*M103+0.10*N103),0))</f>
        <v/>
      </c>
      <c r="T103" s="2">
        <f>IF(C103="","",IF(OR(F103&lt;PARAMETROS!$B$12,F103&gt;PARAMETROS!$B$13,G103&lt;PARAMETROS!$B$11),"NO APTO",IF(O103&lt;IF(F103&lt;1.6,CONFIG!$B$4,IF(F103&lt;1.7,CONFIG!$B$5,IF(F103&lt;1.8,CONFIG!$B$6,IF(F103&lt;2,CONFIG!$B$7,IF(F103&lt;2.2,CONFIG!$B$8,CONFIG!$B$9))))),"NO APTO",IF(R103&lt;PARAMETROS!$B$14,"NO APTO",IF(S103&gt;=PARAMETROS!$B$10,"ALERTA FUERTE",IF(S103&gt;=PARAMETROS!$B$9,"ALERTA MEDIA","NO APTO"))))))</f>
        <v/>
      </c>
      <c r="U103" s="2">
        <f>IF(T103="","",IF(T103="NO APTO","No cumple uno o más filtros",IF(T103="ALERTA FUERTE","Probabilidad, EV, muestra y score superan filtros","Cumple filtros con confianza media")))</f>
        <v/>
      </c>
    </row>
    <row r="104">
      <c r="A104" s="2">
        <f>IF(C104="","",ROW()-1)</f>
        <v/>
      </c>
      <c r="B104" s="2" t="n"/>
      <c r="C104" s="2" t="n"/>
      <c r="D104" s="2" t="n"/>
      <c r="E104" s="2" t="n"/>
      <c r="F104" s="6" t="n"/>
      <c r="G104" s="2" t="n"/>
      <c r="H104" s="7" t="n"/>
      <c r="I104" s="7" t="n"/>
      <c r="J104" s="7" t="n"/>
      <c r="K104" s="7" t="n"/>
      <c r="L104" s="7" t="n"/>
      <c r="M104" s="7" t="n"/>
      <c r="N104" s="7" t="n"/>
      <c r="O104" s="7">
        <f>IF(C104="","",MAX(0.05,MIN(0.95,0.20*H104+0.15*I104+0.15*J104+0.25*K104+0.10*L104+0.05*M104+0.10*N104)))</f>
        <v/>
      </c>
      <c r="P104" s="7">
        <f>IFERROR(1/F104,"")</f>
        <v/>
      </c>
      <c r="Q104" s="7">
        <f>IF(OR(O104="",P104=""),"",O104-P104)</f>
        <v/>
      </c>
      <c r="R104" s="7">
        <f>IF(OR(O104="",F104=""),"",O104*F104-1)</f>
        <v/>
      </c>
      <c r="S104" s="2">
        <f>IF(C104="","",ROUND(100*(0.20*H104+0.15*I104+0.15*J104+0.25*K104+0.10*L104+0.05*M104+0.10*N104),0))</f>
        <v/>
      </c>
      <c r="T104" s="2">
        <f>IF(C104="","",IF(OR(F104&lt;PARAMETROS!$B$12,F104&gt;PARAMETROS!$B$13,G104&lt;PARAMETROS!$B$11),"NO APTO",IF(O104&lt;IF(F104&lt;1.6,CONFIG!$B$4,IF(F104&lt;1.7,CONFIG!$B$5,IF(F104&lt;1.8,CONFIG!$B$6,IF(F104&lt;2,CONFIG!$B$7,IF(F104&lt;2.2,CONFIG!$B$8,CONFIG!$B$9))))),"NO APTO",IF(R104&lt;PARAMETROS!$B$14,"NO APTO",IF(S104&gt;=PARAMETROS!$B$10,"ALERTA FUERTE",IF(S104&gt;=PARAMETROS!$B$9,"ALERTA MEDIA","NO APTO"))))))</f>
        <v/>
      </c>
      <c r="U104" s="2">
        <f>IF(T104="","",IF(T104="NO APTO","No cumple uno o más filtros",IF(T104="ALERTA FUERTE","Probabilidad, EV, muestra y score superan filtros","Cumple filtros con confianza media")))</f>
        <v/>
      </c>
    </row>
    <row r="105">
      <c r="A105" s="2">
        <f>IF(C105="","",ROW()-1)</f>
        <v/>
      </c>
      <c r="B105" s="2" t="n"/>
      <c r="C105" s="2" t="n"/>
      <c r="D105" s="2" t="n"/>
      <c r="E105" s="2" t="n"/>
      <c r="F105" s="6" t="n"/>
      <c r="G105" s="2" t="n"/>
      <c r="H105" s="7" t="n"/>
      <c r="I105" s="7" t="n"/>
      <c r="J105" s="7" t="n"/>
      <c r="K105" s="7" t="n"/>
      <c r="L105" s="7" t="n"/>
      <c r="M105" s="7" t="n"/>
      <c r="N105" s="7" t="n"/>
      <c r="O105" s="7">
        <f>IF(C105="","",MAX(0.05,MIN(0.95,0.20*H105+0.15*I105+0.15*J105+0.25*K105+0.10*L105+0.05*M105+0.10*N105)))</f>
        <v/>
      </c>
      <c r="P105" s="7">
        <f>IFERROR(1/F105,"")</f>
        <v/>
      </c>
      <c r="Q105" s="7">
        <f>IF(OR(O105="",P105=""),"",O105-P105)</f>
        <v/>
      </c>
      <c r="R105" s="7">
        <f>IF(OR(O105="",F105=""),"",O105*F105-1)</f>
        <v/>
      </c>
      <c r="S105" s="2">
        <f>IF(C105="","",ROUND(100*(0.20*H105+0.15*I105+0.15*J105+0.25*K105+0.10*L105+0.05*M105+0.10*N105),0))</f>
        <v/>
      </c>
      <c r="T105" s="2">
        <f>IF(C105="","",IF(OR(F105&lt;PARAMETROS!$B$12,F105&gt;PARAMETROS!$B$13,G105&lt;PARAMETROS!$B$11),"NO APTO",IF(O105&lt;IF(F105&lt;1.6,CONFIG!$B$4,IF(F105&lt;1.7,CONFIG!$B$5,IF(F105&lt;1.8,CONFIG!$B$6,IF(F105&lt;2,CONFIG!$B$7,IF(F105&lt;2.2,CONFIG!$B$8,CONFIG!$B$9))))),"NO APTO",IF(R105&lt;PARAMETROS!$B$14,"NO APTO",IF(S105&gt;=PARAMETROS!$B$10,"ALERTA FUERTE",IF(S105&gt;=PARAMETROS!$B$9,"ALERTA MEDIA","NO APTO"))))))</f>
        <v/>
      </c>
      <c r="U105" s="2">
        <f>IF(T105="","",IF(T105="NO APTO","No cumple uno o más filtros",IF(T105="ALERTA FUERTE","Probabilidad, EV, muestra y score superan filtros","Cumple filtros con confianza media")))</f>
        <v/>
      </c>
    </row>
    <row r="106">
      <c r="A106" s="2">
        <f>IF(C106="","",ROW()-1)</f>
        <v/>
      </c>
      <c r="B106" s="2" t="n"/>
      <c r="C106" s="2" t="n"/>
      <c r="D106" s="2" t="n"/>
      <c r="E106" s="2" t="n"/>
      <c r="F106" s="6" t="n"/>
      <c r="G106" s="2" t="n"/>
      <c r="H106" s="7" t="n"/>
      <c r="I106" s="7" t="n"/>
      <c r="J106" s="7" t="n"/>
      <c r="K106" s="7" t="n"/>
      <c r="L106" s="7" t="n"/>
      <c r="M106" s="7" t="n"/>
      <c r="N106" s="7" t="n"/>
      <c r="O106" s="7">
        <f>IF(C106="","",MAX(0.05,MIN(0.95,0.20*H106+0.15*I106+0.15*J106+0.25*K106+0.10*L106+0.05*M106+0.10*N106)))</f>
        <v/>
      </c>
      <c r="P106" s="7">
        <f>IFERROR(1/F106,"")</f>
        <v/>
      </c>
      <c r="Q106" s="7">
        <f>IF(OR(O106="",P106=""),"",O106-P106)</f>
        <v/>
      </c>
      <c r="R106" s="7">
        <f>IF(OR(O106="",F106=""),"",O106*F106-1)</f>
        <v/>
      </c>
      <c r="S106" s="2">
        <f>IF(C106="","",ROUND(100*(0.20*H106+0.15*I106+0.15*J106+0.25*K106+0.10*L106+0.05*M106+0.10*N106),0))</f>
        <v/>
      </c>
      <c r="T106" s="2">
        <f>IF(C106="","",IF(OR(F106&lt;PARAMETROS!$B$12,F106&gt;PARAMETROS!$B$13,G106&lt;PARAMETROS!$B$11),"NO APTO",IF(O106&lt;IF(F106&lt;1.6,CONFIG!$B$4,IF(F106&lt;1.7,CONFIG!$B$5,IF(F106&lt;1.8,CONFIG!$B$6,IF(F106&lt;2,CONFIG!$B$7,IF(F106&lt;2.2,CONFIG!$B$8,CONFIG!$B$9))))),"NO APTO",IF(R106&lt;PARAMETROS!$B$14,"NO APTO",IF(S106&gt;=PARAMETROS!$B$10,"ALERTA FUERTE",IF(S106&gt;=PARAMETROS!$B$9,"ALERTA MEDIA","NO APTO"))))))</f>
        <v/>
      </c>
      <c r="U106" s="2">
        <f>IF(T106="","",IF(T106="NO APTO","No cumple uno o más filtros",IF(T106="ALERTA FUERTE","Probabilidad, EV, muestra y score superan filtros","Cumple filtros con confianza media")))</f>
        <v/>
      </c>
    </row>
    <row r="107">
      <c r="A107" s="2">
        <f>IF(C107="","",ROW()-1)</f>
        <v/>
      </c>
      <c r="B107" s="2" t="n"/>
      <c r="C107" s="2" t="n"/>
      <c r="D107" s="2" t="n"/>
      <c r="E107" s="2" t="n"/>
      <c r="F107" s="6" t="n"/>
      <c r="G107" s="2" t="n"/>
      <c r="H107" s="7" t="n"/>
      <c r="I107" s="7" t="n"/>
      <c r="J107" s="7" t="n"/>
      <c r="K107" s="7" t="n"/>
      <c r="L107" s="7" t="n"/>
      <c r="M107" s="7" t="n"/>
      <c r="N107" s="7" t="n"/>
      <c r="O107" s="7">
        <f>IF(C107="","",MAX(0.05,MIN(0.95,0.20*H107+0.15*I107+0.15*J107+0.25*K107+0.10*L107+0.05*M107+0.10*N107)))</f>
        <v/>
      </c>
      <c r="P107" s="7">
        <f>IFERROR(1/F107,"")</f>
        <v/>
      </c>
      <c r="Q107" s="7">
        <f>IF(OR(O107="",P107=""),"",O107-P107)</f>
        <v/>
      </c>
      <c r="R107" s="7">
        <f>IF(OR(O107="",F107=""),"",O107*F107-1)</f>
        <v/>
      </c>
      <c r="S107" s="2">
        <f>IF(C107="","",ROUND(100*(0.20*H107+0.15*I107+0.15*J107+0.25*K107+0.10*L107+0.05*M107+0.10*N107),0))</f>
        <v/>
      </c>
      <c r="T107" s="2">
        <f>IF(C107="","",IF(OR(F107&lt;PARAMETROS!$B$12,F107&gt;PARAMETROS!$B$13,G107&lt;PARAMETROS!$B$11),"NO APTO",IF(O107&lt;IF(F107&lt;1.6,CONFIG!$B$4,IF(F107&lt;1.7,CONFIG!$B$5,IF(F107&lt;1.8,CONFIG!$B$6,IF(F107&lt;2,CONFIG!$B$7,IF(F107&lt;2.2,CONFIG!$B$8,CONFIG!$B$9))))),"NO APTO",IF(R107&lt;PARAMETROS!$B$14,"NO APTO",IF(S107&gt;=PARAMETROS!$B$10,"ALERTA FUERTE",IF(S107&gt;=PARAMETROS!$B$9,"ALERTA MEDIA","NO APTO"))))))</f>
        <v/>
      </c>
      <c r="U107" s="2">
        <f>IF(T107="","",IF(T107="NO APTO","No cumple uno o más filtros",IF(T107="ALERTA FUERTE","Probabilidad, EV, muestra y score superan filtros","Cumple filtros con confianza media")))</f>
        <v/>
      </c>
    </row>
    <row r="108">
      <c r="A108" s="2">
        <f>IF(C108="","",ROW()-1)</f>
        <v/>
      </c>
      <c r="B108" s="2" t="n"/>
      <c r="C108" s="2" t="n"/>
      <c r="D108" s="2" t="n"/>
      <c r="E108" s="2" t="n"/>
      <c r="F108" s="6" t="n"/>
      <c r="G108" s="2" t="n"/>
      <c r="H108" s="7" t="n"/>
      <c r="I108" s="7" t="n"/>
      <c r="J108" s="7" t="n"/>
      <c r="K108" s="7" t="n"/>
      <c r="L108" s="7" t="n"/>
      <c r="M108" s="7" t="n"/>
      <c r="N108" s="7" t="n"/>
      <c r="O108" s="7">
        <f>IF(C108="","",MAX(0.05,MIN(0.95,0.20*H108+0.15*I108+0.15*J108+0.25*K108+0.10*L108+0.05*M108+0.10*N108)))</f>
        <v/>
      </c>
      <c r="P108" s="7">
        <f>IFERROR(1/F108,"")</f>
        <v/>
      </c>
      <c r="Q108" s="7">
        <f>IF(OR(O108="",P108=""),"",O108-P108)</f>
        <v/>
      </c>
      <c r="R108" s="7">
        <f>IF(OR(O108="",F108=""),"",O108*F108-1)</f>
        <v/>
      </c>
      <c r="S108" s="2">
        <f>IF(C108="","",ROUND(100*(0.20*H108+0.15*I108+0.15*J108+0.25*K108+0.10*L108+0.05*M108+0.10*N108),0))</f>
        <v/>
      </c>
      <c r="T108" s="2">
        <f>IF(C108="","",IF(OR(F108&lt;PARAMETROS!$B$12,F108&gt;PARAMETROS!$B$13,G108&lt;PARAMETROS!$B$11),"NO APTO",IF(O108&lt;IF(F108&lt;1.6,CONFIG!$B$4,IF(F108&lt;1.7,CONFIG!$B$5,IF(F108&lt;1.8,CONFIG!$B$6,IF(F108&lt;2,CONFIG!$B$7,IF(F108&lt;2.2,CONFIG!$B$8,CONFIG!$B$9))))),"NO APTO",IF(R108&lt;PARAMETROS!$B$14,"NO APTO",IF(S108&gt;=PARAMETROS!$B$10,"ALERTA FUERTE",IF(S108&gt;=PARAMETROS!$B$9,"ALERTA MEDIA","NO APTO"))))))</f>
        <v/>
      </c>
      <c r="U108" s="2">
        <f>IF(T108="","",IF(T108="NO APTO","No cumple uno o más filtros",IF(T108="ALERTA FUERTE","Probabilidad, EV, muestra y score superan filtros","Cumple filtros con confianza media")))</f>
        <v/>
      </c>
    </row>
    <row r="109">
      <c r="A109" s="2">
        <f>IF(C109="","",ROW()-1)</f>
        <v/>
      </c>
      <c r="B109" s="2" t="n"/>
      <c r="C109" s="2" t="n"/>
      <c r="D109" s="2" t="n"/>
      <c r="E109" s="2" t="n"/>
      <c r="F109" s="6" t="n"/>
      <c r="G109" s="2" t="n"/>
      <c r="H109" s="7" t="n"/>
      <c r="I109" s="7" t="n"/>
      <c r="J109" s="7" t="n"/>
      <c r="K109" s="7" t="n"/>
      <c r="L109" s="7" t="n"/>
      <c r="M109" s="7" t="n"/>
      <c r="N109" s="7" t="n"/>
      <c r="O109" s="7">
        <f>IF(C109="","",MAX(0.05,MIN(0.95,0.20*H109+0.15*I109+0.15*J109+0.25*K109+0.10*L109+0.05*M109+0.10*N109)))</f>
        <v/>
      </c>
      <c r="P109" s="7">
        <f>IFERROR(1/F109,"")</f>
        <v/>
      </c>
      <c r="Q109" s="7">
        <f>IF(OR(O109="",P109=""),"",O109-P109)</f>
        <v/>
      </c>
      <c r="R109" s="7">
        <f>IF(OR(O109="",F109=""),"",O109*F109-1)</f>
        <v/>
      </c>
      <c r="S109" s="2">
        <f>IF(C109="","",ROUND(100*(0.20*H109+0.15*I109+0.15*J109+0.25*K109+0.10*L109+0.05*M109+0.10*N109),0))</f>
        <v/>
      </c>
      <c r="T109" s="2">
        <f>IF(C109="","",IF(OR(F109&lt;PARAMETROS!$B$12,F109&gt;PARAMETROS!$B$13,G109&lt;PARAMETROS!$B$11),"NO APTO",IF(O109&lt;IF(F109&lt;1.6,CONFIG!$B$4,IF(F109&lt;1.7,CONFIG!$B$5,IF(F109&lt;1.8,CONFIG!$B$6,IF(F109&lt;2,CONFIG!$B$7,IF(F109&lt;2.2,CONFIG!$B$8,CONFIG!$B$9))))),"NO APTO",IF(R109&lt;PARAMETROS!$B$14,"NO APTO",IF(S109&gt;=PARAMETROS!$B$10,"ALERTA FUERTE",IF(S109&gt;=PARAMETROS!$B$9,"ALERTA MEDIA","NO APTO"))))))</f>
        <v/>
      </c>
      <c r="U109" s="2">
        <f>IF(T109="","",IF(T109="NO APTO","No cumple uno o más filtros",IF(T109="ALERTA FUERTE","Probabilidad, EV, muestra y score superan filtros","Cumple filtros con confianza media")))</f>
        <v/>
      </c>
    </row>
    <row r="110">
      <c r="A110" s="2">
        <f>IF(C110="","",ROW()-1)</f>
        <v/>
      </c>
      <c r="B110" s="2" t="n"/>
      <c r="C110" s="2" t="n"/>
      <c r="D110" s="2" t="n"/>
      <c r="E110" s="2" t="n"/>
      <c r="F110" s="6" t="n"/>
      <c r="G110" s="2" t="n"/>
      <c r="H110" s="7" t="n"/>
      <c r="I110" s="7" t="n"/>
      <c r="J110" s="7" t="n"/>
      <c r="K110" s="7" t="n"/>
      <c r="L110" s="7" t="n"/>
      <c r="M110" s="7" t="n"/>
      <c r="N110" s="7" t="n"/>
      <c r="O110" s="7">
        <f>IF(C110="","",MAX(0.05,MIN(0.95,0.20*H110+0.15*I110+0.15*J110+0.25*K110+0.10*L110+0.05*M110+0.10*N110)))</f>
        <v/>
      </c>
      <c r="P110" s="7">
        <f>IFERROR(1/F110,"")</f>
        <v/>
      </c>
      <c r="Q110" s="7">
        <f>IF(OR(O110="",P110=""),"",O110-P110)</f>
        <v/>
      </c>
      <c r="R110" s="7">
        <f>IF(OR(O110="",F110=""),"",O110*F110-1)</f>
        <v/>
      </c>
      <c r="S110" s="2">
        <f>IF(C110="","",ROUND(100*(0.20*H110+0.15*I110+0.15*J110+0.25*K110+0.10*L110+0.05*M110+0.10*N110),0))</f>
        <v/>
      </c>
      <c r="T110" s="2">
        <f>IF(C110="","",IF(OR(F110&lt;PARAMETROS!$B$12,F110&gt;PARAMETROS!$B$13,G110&lt;PARAMETROS!$B$11),"NO APTO",IF(O110&lt;IF(F110&lt;1.6,CONFIG!$B$4,IF(F110&lt;1.7,CONFIG!$B$5,IF(F110&lt;1.8,CONFIG!$B$6,IF(F110&lt;2,CONFIG!$B$7,IF(F110&lt;2.2,CONFIG!$B$8,CONFIG!$B$9))))),"NO APTO",IF(R110&lt;PARAMETROS!$B$14,"NO APTO",IF(S110&gt;=PARAMETROS!$B$10,"ALERTA FUERTE",IF(S110&gt;=PARAMETROS!$B$9,"ALERTA MEDIA","NO APTO"))))))</f>
        <v/>
      </c>
      <c r="U110" s="2">
        <f>IF(T110="","",IF(T110="NO APTO","No cumple uno o más filtros",IF(T110="ALERTA FUERTE","Probabilidad, EV, muestra y score superan filtros","Cumple filtros con confianza media")))</f>
        <v/>
      </c>
    </row>
    <row r="111">
      <c r="A111" s="2">
        <f>IF(C111="","",ROW()-1)</f>
        <v/>
      </c>
      <c r="B111" s="2" t="n"/>
      <c r="C111" s="2" t="n"/>
      <c r="D111" s="2" t="n"/>
      <c r="E111" s="2" t="n"/>
      <c r="F111" s="6" t="n"/>
      <c r="G111" s="2" t="n"/>
      <c r="H111" s="7" t="n"/>
      <c r="I111" s="7" t="n"/>
      <c r="J111" s="7" t="n"/>
      <c r="K111" s="7" t="n"/>
      <c r="L111" s="7" t="n"/>
      <c r="M111" s="7" t="n"/>
      <c r="N111" s="7" t="n"/>
      <c r="O111" s="7">
        <f>IF(C111="","",MAX(0.05,MIN(0.95,0.20*H111+0.15*I111+0.15*J111+0.25*K111+0.10*L111+0.05*M111+0.10*N111)))</f>
        <v/>
      </c>
      <c r="P111" s="7">
        <f>IFERROR(1/F111,"")</f>
        <v/>
      </c>
      <c r="Q111" s="7">
        <f>IF(OR(O111="",P111=""),"",O111-P111)</f>
        <v/>
      </c>
      <c r="R111" s="7">
        <f>IF(OR(O111="",F111=""),"",O111*F111-1)</f>
        <v/>
      </c>
      <c r="S111" s="2">
        <f>IF(C111="","",ROUND(100*(0.20*H111+0.15*I111+0.15*J111+0.25*K111+0.10*L111+0.05*M111+0.10*N111),0))</f>
        <v/>
      </c>
      <c r="T111" s="2">
        <f>IF(C111="","",IF(OR(F111&lt;PARAMETROS!$B$12,F111&gt;PARAMETROS!$B$13,G111&lt;PARAMETROS!$B$11),"NO APTO",IF(O111&lt;IF(F111&lt;1.6,CONFIG!$B$4,IF(F111&lt;1.7,CONFIG!$B$5,IF(F111&lt;1.8,CONFIG!$B$6,IF(F111&lt;2,CONFIG!$B$7,IF(F111&lt;2.2,CONFIG!$B$8,CONFIG!$B$9))))),"NO APTO",IF(R111&lt;PARAMETROS!$B$14,"NO APTO",IF(S111&gt;=PARAMETROS!$B$10,"ALERTA FUERTE",IF(S111&gt;=PARAMETROS!$B$9,"ALERTA MEDIA","NO APTO"))))))</f>
        <v/>
      </c>
      <c r="U111" s="2">
        <f>IF(T111="","",IF(T111="NO APTO","No cumple uno o más filtros",IF(T111="ALERTA FUERTE","Probabilidad, EV, muestra y score superan filtros","Cumple filtros con confianza media")))</f>
        <v/>
      </c>
    </row>
    <row r="112">
      <c r="A112" s="2">
        <f>IF(C112="","",ROW()-1)</f>
        <v/>
      </c>
      <c r="B112" s="2" t="n"/>
      <c r="C112" s="2" t="n"/>
      <c r="D112" s="2" t="n"/>
      <c r="E112" s="2" t="n"/>
      <c r="F112" s="6" t="n"/>
      <c r="G112" s="2" t="n"/>
      <c r="H112" s="7" t="n"/>
      <c r="I112" s="7" t="n"/>
      <c r="J112" s="7" t="n"/>
      <c r="K112" s="7" t="n"/>
      <c r="L112" s="7" t="n"/>
      <c r="M112" s="7" t="n"/>
      <c r="N112" s="7" t="n"/>
      <c r="O112" s="7">
        <f>IF(C112="","",MAX(0.05,MIN(0.95,0.20*H112+0.15*I112+0.15*J112+0.25*K112+0.10*L112+0.05*M112+0.10*N112)))</f>
        <v/>
      </c>
      <c r="P112" s="7">
        <f>IFERROR(1/F112,"")</f>
        <v/>
      </c>
      <c r="Q112" s="7">
        <f>IF(OR(O112="",P112=""),"",O112-P112)</f>
        <v/>
      </c>
      <c r="R112" s="7">
        <f>IF(OR(O112="",F112=""),"",O112*F112-1)</f>
        <v/>
      </c>
      <c r="S112" s="2">
        <f>IF(C112="","",ROUND(100*(0.20*H112+0.15*I112+0.15*J112+0.25*K112+0.10*L112+0.05*M112+0.10*N112),0))</f>
        <v/>
      </c>
      <c r="T112" s="2">
        <f>IF(C112="","",IF(OR(F112&lt;PARAMETROS!$B$12,F112&gt;PARAMETROS!$B$13,G112&lt;PARAMETROS!$B$11),"NO APTO",IF(O112&lt;IF(F112&lt;1.6,CONFIG!$B$4,IF(F112&lt;1.7,CONFIG!$B$5,IF(F112&lt;1.8,CONFIG!$B$6,IF(F112&lt;2,CONFIG!$B$7,IF(F112&lt;2.2,CONFIG!$B$8,CONFIG!$B$9))))),"NO APTO",IF(R112&lt;PARAMETROS!$B$14,"NO APTO",IF(S112&gt;=PARAMETROS!$B$10,"ALERTA FUERTE",IF(S112&gt;=PARAMETROS!$B$9,"ALERTA MEDIA","NO APTO"))))))</f>
        <v/>
      </c>
      <c r="U112" s="2">
        <f>IF(T112="","",IF(T112="NO APTO","No cumple uno o más filtros",IF(T112="ALERTA FUERTE","Probabilidad, EV, muestra y score superan filtros","Cumple filtros con confianza media")))</f>
        <v/>
      </c>
    </row>
    <row r="113">
      <c r="A113" s="2">
        <f>IF(C113="","",ROW()-1)</f>
        <v/>
      </c>
      <c r="B113" s="2" t="n"/>
      <c r="C113" s="2" t="n"/>
      <c r="D113" s="2" t="n"/>
      <c r="E113" s="2" t="n"/>
      <c r="F113" s="6" t="n"/>
      <c r="G113" s="2" t="n"/>
      <c r="H113" s="7" t="n"/>
      <c r="I113" s="7" t="n"/>
      <c r="J113" s="7" t="n"/>
      <c r="K113" s="7" t="n"/>
      <c r="L113" s="7" t="n"/>
      <c r="M113" s="7" t="n"/>
      <c r="N113" s="7" t="n"/>
      <c r="O113" s="7">
        <f>IF(C113="","",MAX(0.05,MIN(0.95,0.20*H113+0.15*I113+0.15*J113+0.25*K113+0.10*L113+0.05*M113+0.10*N113)))</f>
        <v/>
      </c>
      <c r="P113" s="7">
        <f>IFERROR(1/F113,"")</f>
        <v/>
      </c>
      <c r="Q113" s="7">
        <f>IF(OR(O113="",P113=""),"",O113-P113)</f>
        <v/>
      </c>
      <c r="R113" s="7">
        <f>IF(OR(O113="",F113=""),"",O113*F113-1)</f>
        <v/>
      </c>
      <c r="S113" s="2">
        <f>IF(C113="","",ROUND(100*(0.20*H113+0.15*I113+0.15*J113+0.25*K113+0.10*L113+0.05*M113+0.10*N113),0))</f>
        <v/>
      </c>
      <c r="T113" s="2">
        <f>IF(C113="","",IF(OR(F113&lt;PARAMETROS!$B$12,F113&gt;PARAMETROS!$B$13,G113&lt;PARAMETROS!$B$11),"NO APTO",IF(O113&lt;IF(F113&lt;1.6,CONFIG!$B$4,IF(F113&lt;1.7,CONFIG!$B$5,IF(F113&lt;1.8,CONFIG!$B$6,IF(F113&lt;2,CONFIG!$B$7,IF(F113&lt;2.2,CONFIG!$B$8,CONFIG!$B$9))))),"NO APTO",IF(R113&lt;PARAMETROS!$B$14,"NO APTO",IF(S113&gt;=PARAMETROS!$B$10,"ALERTA FUERTE",IF(S113&gt;=PARAMETROS!$B$9,"ALERTA MEDIA","NO APTO"))))))</f>
        <v/>
      </c>
      <c r="U113" s="2">
        <f>IF(T113="","",IF(T113="NO APTO","No cumple uno o más filtros",IF(T113="ALERTA FUERTE","Probabilidad, EV, muestra y score superan filtros","Cumple filtros con confianza media")))</f>
        <v/>
      </c>
    </row>
    <row r="114">
      <c r="A114" s="2">
        <f>IF(C114="","",ROW()-1)</f>
        <v/>
      </c>
      <c r="B114" s="2" t="n"/>
      <c r="C114" s="2" t="n"/>
      <c r="D114" s="2" t="n"/>
      <c r="E114" s="2" t="n"/>
      <c r="F114" s="6" t="n"/>
      <c r="G114" s="2" t="n"/>
      <c r="H114" s="7" t="n"/>
      <c r="I114" s="7" t="n"/>
      <c r="J114" s="7" t="n"/>
      <c r="K114" s="7" t="n"/>
      <c r="L114" s="7" t="n"/>
      <c r="M114" s="7" t="n"/>
      <c r="N114" s="7" t="n"/>
      <c r="O114" s="7">
        <f>IF(C114="","",MAX(0.05,MIN(0.95,0.20*H114+0.15*I114+0.15*J114+0.25*K114+0.10*L114+0.05*M114+0.10*N114)))</f>
        <v/>
      </c>
      <c r="P114" s="7">
        <f>IFERROR(1/F114,"")</f>
        <v/>
      </c>
      <c r="Q114" s="7">
        <f>IF(OR(O114="",P114=""),"",O114-P114)</f>
        <v/>
      </c>
      <c r="R114" s="7">
        <f>IF(OR(O114="",F114=""),"",O114*F114-1)</f>
        <v/>
      </c>
      <c r="S114" s="2">
        <f>IF(C114="","",ROUND(100*(0.20*H114+0.15*I114+0.15*J114+0.25*K114+0.10*L114+0.05*M114+0.10*N114),0))</f>
        <v/>
      </c>
      <c r="T114" s="2">
        <f>IF(C114="","",IF(OR(F114&lt;PARAMETROS!$B$12,F114&gt;PARAMETROS!$B$13,G114&lt;PARAMETROS!$B$11),"NO APTO",IF(O114&lt;IF(F114&lt;1.6,CONFIG!$B$4,IF(F114&lt;1.7,CONFIG!$B$5,IF(F114&lt;1.8,CONFIG!$B$6,IF(F114&lt;2,CONFIG!$B$7,IF(F114&lt;2.2,CONFIG!$B$8,CONFIG!$B$9))))),"NO APTO",IF(R114&lt;PARAMETROS!$B$14,"NO APTO",IF(S114&gt;=PARAMETROS!$B$10,"ALERTA FUERTE",IF(S114&gt;=PARAMETROS!$B$9,"ALERTA MEDIA","NO APTO"))))))</f>
        <v/>
      </c>
      <c r="U114" s="2">
        <f>IF(T114="","",IF(T114="NO APTO","No cumple uno o más filtros",IF(T114="ALERTA FUERTE","Probabilidad, EV, muestra y score superan filtros","Cumple filtros con confianza media")))</f>
        <v/>
      </c>
    </row>
    <row r="115">
      <c r="A115" s="2">
        <f>IF(C115="","",ROW()-1)</f>
        <v/>
      </c>
      <c r="B115" s="2" t="n"/>
      <c r="C115" s="2" t="n"/>
      <c r="D115" s="2" t="n"/>
      <c r="E115" s="2" t="n"/>
      <c r="F115" s="6" t="n"/>
      <c r="G115" s="2" t="n"/>
      <c r="H115" s="7" t="n"/>
      <c r="I115" s="7" t="n"/>
      <c r="J115" s="7" t="n"/>
      <c r="K115" s="7" t="n"/>
      <c r="L115" s="7" t="n"/>
      <c r="M115" s="7" t="n"/>
      <c r="N115" s="7" t="n"/>
      <c r="O115" s="7">
        <f>IF(C115="","",MAX(0.05,MIN(0.95,0.20*H115+0.15*I115+0.15*J115+0.25*K115+0.10*L115+0.05*M115+0.10*N115)))</f>
        <v/>
      </c>
      <c r="P115" s="7">
        <f>IFERROR(1/F115,"")</f>
        <v/>
      </c>
      <c r="Q115" s="7">
        <f>IF(OR(O115="",P115=""),"",O115-P115)</f>
        <v/>
      </c>
      <c r="R115" s="7">
        <f>IF(OR(O115="",F115=""),"",O115*F115-1)</f>
        <v/>
      </c>
      <c r="S115" s="2">
        <f>IF(C115="","",ROUND(100*(0.20*H115+0.15*I115+0.15*J115+0.25*K115+0.10*L115+0.05*M115+0.10*N115),0))</f>
        <v/>
      </c>
      <c r="T115" s="2">
        <f>IF(C115="","",IF(OR(F115&lt;PARAMETROS!$B$12,F115&gt;PARAMETROS!$B$13,G115&lt;PARAMETROS!$B$11),"NO APTO",IF(O115&lt;IF(F115&lt;1.6,CONFIG!$B$4,IF(F115&lt;1.7,CONFIG!$B$5,IF(F115&lt;1.8,CONFIG!$B$6,IF(F115&lt;2,CONFIG!$B$7,IF(F115&lt;2.2,CONFIG!$B$8,CONFIG!$B$9))))),"NO APTO",IF(R115&lt;PARAMETROS!$B$14,"NO APTO",IF(S115&gt;=PARAMETROS!$B$10,"ALERTA FUERTE",IF(S115&gt;=PARAMETROS!$B$9,"ALERTA MEDIA","NO APTO"))))))</f>
        <v/>
      </c>
      <c r="U115" s="2">
        <f>IF(T115="","",IF(T115="NO APTO","No cumple uno o más filtros",IF(T115="ALERTA FUERTE","Probabilidad, EV, muestra y score superan filtros","Cumple filtros con confianza media")))</f>
        <v/>
      </c>
    </row>
    <row r="116">
      <c r="A116" s="2">
        <f>IF(C116="","",ROW()-1)</f>
        <v/>
      </c>
      <c r="B116" s="2" t="n"/>
      <c r="C116" s="2" t="n"/>
      <c r="D116" s="2" t="n"/>
      <c r="E116" s="2" t="n"/>
      <c r="F116" s="6" t="n"/>
      <c r="G116" s="2" t="n"/>
      <c r="H116" s="7" t="n"/>
      <c r="I116" s="7" t="n"/>
      <c r="J116" s="7" t="n"/>
      <c r="K116" s="7" t="n"/>
      <c r="L116" s="7" t="n"/>
      <c r="M116" s="7" t="n"/>
      <c r="N116" s="7" t="n"/>
      <c r="O116" s="7">
        <f>IF(C116="","",MAX(0.05,MIN(0.95,0.20*H116+0.15*I116+0.15*J116+0.25*K116+0.10*L116+0.05*M116+0.10*N116)))</f>
        <v/>
      </c>
      <c r="P116" s="7">
        <f>IFERROR(1/F116,"")</f>
        <v/>
      </c>
      <c r="Q116" s="7">
        <f>IF(OR(O116="",P116=""),"",O116-P116)</f>
        <v/>
      </c>
      <c r="R116" s="7">
        <f>IF(OR(O116="",F116=""),"",O116*F116-1)</f>
        <v/>
      </c>
      <c r="S116" s="2">
        <f>IF(C116="","",ROUND(100*(0.20*H116+0.15*I116+0.15*J116+0.25*K116+0.10*L116+0.05*M116+0.10*N116),0))</f>
        <v/>
      </c>
      <c r="T116" s="2">
        <f>IF(C116="","",IF(OR(F116&lt;PARAMETROS!$B$12,F116&gt;PARAMETROS!$B$13,G116&lt;PARAMETROS!$B$11),"NO APTO",IF(O116&lt;IF(F116&lt;1.6,CONFIG!$B$4,IF(F116&lt;1.7,CONFIG!$B$5,IF(F116&lt;1.8,CONFIG!$B$6,IF(F116&lt;2,CONFIG!$B$7,IF(F116&lt;2.2,CONFIG!$B$8,CONFIG!$B$9))))),"NO APTO",IF(R116&lt;PARAMETROS!$B$14,"NO APTO",IF(S116&gt;=PARAMETROS!$B$10,"ALERTA FUERTE",IF(S116&gt;=PARAMETROS!$B$9,"ALERTA MEDIA","NO APTO"))))))</f>
        <v/>
      </c>
      <c r="U116" s="2">
        <f>IF(T116="","",IF(T116="NO APTO","No cumple uno o más filtros",IF(T116="ALERTA FUERTE","Probabilidad, EV, muestra y score superan filtros","Cumple filtros con confianza media")))</f>
        <v/>
      </c>
    </row>
    <row r="117">
      <c r="A117" s="2">
        <f>IF(C117="","",ROW()-1)</f>
        <v/>
      </c>
      <c r="B117" s="2" t="n"/>
      <c r="C117" s="2" t="n"/>
      <c r="D117" s="2" t="n"/>
      <c r="E117" s="2" t="n"/>
      <c r="F117" s="6" t="n"/>
      <c r="G117" s="2" t="n"/>
      <c r="H117" s="7" t="n"/>
      <c r="I117" s="7" t="n"/>
      <c r="J117" s="7" t="n"/>
      <c r="K117" s="7" t="n"/>
      <c r="L117" s="7" t="n"/>
      <c r="M117" s="7" t="n"/>
      <c r="N117" s="7" t="n"/>
      <c r="O117" s="7">
        <f>IF(C117="","",MAX(0.05,MIN(0.95,0.20*H117+0.15*I117+0.15*J117+0.25*K117+0.10*L117+0.05*M117+0.10*N117)))</f>
        <v/>
      </c>
      <c r="P117" s="7">
        <f>IFERROR(1/F117,"")</f>
        <v/>
      </c>
      <c r="Q117" s="7">
        <f>IF(OR(O117="",P117=""),"",O117-P117)</f>
        <v/>
      </c>
      <c r="R117" s="7">
        <f>IF(OR(O117="",F117=""),"",O117*F117-1)</f>
        <v/>
      </c>
      <c r="S117" s="2">
        <f>IF(C117="","",ROUND(100*(0.20*H117+0.15*I117+0.15*J117+0.25*K117+0.10*L117+0.05*M117+0.10*N117),0))</f>
        <v/>
      </c>
      <c r="T117" s="2">
        <f>IF(C117="","",IF(OR(F117&lt;PARAMETROS!$B$12,F117&gt;PARAMETROS!$B$13,G117&lt;PARAMETROS!$B$11),"NO APTO",IF(O117&lt;IF(F117&lt;1.6,CONFIG!$B$4,IF(F117&lt;1.7,CONFIG!$B$5,IF(F117&lt;1.8,CONFIG!$B$6,IF(F117&lt;2,CONFIG!$B$7,IF(F117&lt;2.2,CONFIG!$B$8,CONFIG!$B$9))))),"NO APTO",IF(R117&lt;PARAMETROS!$B$14,"NO APTO",IF(S117&gt;=PARAMETROS!$B$10,"ALERTA FUERTE",IF(S117&gt;=PARAMETROS!$B$9,"ALERTA MEDIA","NO APTO"))))))</f>
        <v/>
      </c>
      <c r="U117" s="2">
        <f>IF(T117="","",IF(T117="NO APTO","No cumple uno o más filtros",IF(T117="ALERTA FUERTE","Probabilidad, EV, muestra y score superan filtros","Cumple filtros con confianza media")))</f>
        <v/>
      </c>
    </row>
    <row r="118">
      <c r="A118" s="2">
        <f>IF(C118="","",ROW()-1)</f>
        <v/>
      </c>
      <c r="B118" s="2" t="n"/>
      <c r="C118" s="2" t="n"/>
      <c r="D118" s="2" t="n"/>
      <c r="E118" s="2" t="n"/>
      <c r="F118" s="6" t="n"/>
      <c r="G118" s="2" t="n"/>
      <c r="H118" s="7" t="n"/>
      <c r="I118" s="7" t="n"/>
      <c r="J118" s="7" t="n"/>
      <c r="K118" s="7" t="n"/>
      <c r="L118" s="7" t="n"/>
      <c r="M118" s="7" t="n"/>
      <c r="N118" s="7" t="n"/>
      <c r="O118" s="7">
        <f>IF(C118="","",MAX(0.05,MIN(0.95,0.20*H118+0.15*I118+0.15*J118+0.25*K118+0.10*L118+0.05*M118+0.10*N118)))</f>
        <v/>
      </c>
      <c r="P118" s="7">
        <f>IFERROR(1/F118,"")</f>
        <v/>
      </c>
      <c r="Q118" s="7">
        <f>IF(OR(O118="",P118=""),"",O118-P118)</f>
        <v/>
      </c>
      <c r="R118" s="7">
        <f>IF(OR(O118="",F118=""),"",O118*F118-1)</f>
        <v/>
      </c>
      <c r="S118" s="2">
        <f>IF(C118="","",ROUND(100*(0.20*H118+0.15*I118+0.15*J118+0.25*K118+0.10*L118+0.05*M118+0.10*N118),0))</f>
        <v/>
      </c>
      <c r="T118" s="2">
        <f>IF(C118="","",IF(OR(F118&lt;PARAMETROS!$B$12,F118&gt;PARAMETROS!$B$13,G118&lt;PARAMETROS!$B$11),"NO APTO",IF(O118&lt;IF(F118&lt;1.6,CONFIG!$B$4,IF(F118&lt;1.7,CONFIG!$B$5,IF(F118&lt;1.8,CONFIG!$B$6,IF(F118&lt;2,CONFIG!$B$7,IF(F118&lt;2.2,CONFIG!$B$8,CONFIG!$B$9))))),"NO APTO",IF(R118&lt;PARAMETROS!$B$14,"NO APTO",IF(S118&gt;=PARAMETROS!$B$10,"ALERTA FUERTE",IF(S118&gt;=PARAMETROS!$B$9,"ALERTA MEDIA","NO APTO"))))))</f>
        <v/>
      </c>
      <c r="U118" s="2">
        <f>IF(T118="","",IF(T118="NO APTO","No cumple uno o más filtros",IF(T118="ALERTA FUERTE","Probabilidad, EV, muestra y score superan filtros","Cumple filtros con confianza media")))</f>
        <v/>
      </c>
    </row>
    <row r="119">
      <c r="A119" s="2">
        <f>IF(C119="","",ROW()-1)</f>
        <v/>
      </c>
      <c r="B119" s="2" t="n"/>
      <c r="C119" s="2" t="n"/>
      <c r="D119" s="2" t="n"/>
      <c r="E119" s="2" t="n"/>
      <c r="F119" s="6" t="n"/>
      <c r="G119" s="2" t="n"/>
      <c r="H119" s="7" t="n"/>
      <c r="I119" s="7" t="n"/>
      <c r="J119" s="7" t="n"/>
      <c r="K119" s="7" t="n"/>
      <c r="L119" s="7" t="n"/>
      <c r="M119" s="7" t="n"/>
      <c r="N119" s="7" t="n"/>
      <c r="O119" s="7">
        <f>IF(C119="","",MAX(0.05,MIN(0.95,0.20*H119+0.15*I119+0.15*J119+0.25*K119+0.10*L119+0.05*M119+0.10*N119)))</f>
        <v/>
      </c>
      <c r="P119" s="7">
        <f>IFERROR(1/F119,"")</f>
        <v/>
      </c>
      <c r="Q119" s="7">
        <f>IF(OR(O119="",P119=""),"",O119-P119)</f>
        <v/>
      </c>
      <c r="R119" s="7">
        <f>IF(OR(O119="",F119=""),"",O119*F119-1)</f>
        <v/>
      </c>
      <c r="S119" s="2">
        <f>IF(C119="","",ROUND(100*(0.20*H119+0.15*I119+0.15*J119+0.25*K119+0.10*L119+0.05*M119+0.10*N119),0))</f>
        <v/>
      </c>
      <c r="T119" s="2">
        <f>IF(C119="","",IF(OR(F119&lt;PARAMETROS!$B$12,F119&gt;PARAMETROS!$B$13,G119&lt;PARAMETROS!$B$11),"NO APTO",IF(O119&lt;IF(F119&lt;1.6,CONFIG!$B$4,IF(F119&lt;1.7,CONFIG!$B$5,IF(F119&lt;1.8,CONFIG!$B$6,IF(F119&lt;2,CONFIG!$B$7,IF(F119&lt;2.2,CONFIG!$B$8,CONFIG!$B$9))))),"NO APTO",IF(R119&lt;PARAMETROS!$B$14,"NO APTO",IF(S119&gt;=PARAMETROS!$B$10,"ALERTA FUERTE",IF(S119&gt;=PARAMETROS!$B$9,"ALERTA MEDIA","NO APTO"))))))</f>
        <v/>
      </c>
      <c r="U119" s="2">
        <f>IF(T119="","",IF(T119="NO APTO","No cumple uno o más filtros",IF(T119="ALERTA FUERTE","Probabilidad, EV, muestra y score superan filtros","Cumple filtros con confianza media")))</f>
        <v/>
      </c>
    </row>
    <row r="120">
      <c r="A120" s="2">
        <f>IF(C120="","",ROW()-1)</f>
        <v/>
      </c>
      <c r="B120" s="2" t="n"/>
      <c r="C120" s="2" t="n"/>
      <c r="D120" s="2" t="n"/>
      <c r="E120" s="2" t="n"/>
      <c r="F120" s="6" t="n"/>
      <c r="G120" s="2" t="n"/>
      <c r="H120" s="7" t="n"/>
      <c r="I120" s="7" t="n"/>
      <c r="J120" s="7" t="n"/>
      <c r="K120" s="7" t="n"/>
      <c r="L120" s="7" t="n"/>
      <c r="M120" s="7" t="n"/>
      <c r="N120" s="7" t="n"/>
      <c r="O120" s="7">
        <f>IF(C120="","",MAX(0.05,MIN(0.95,0.20*H120+0.15*I120+0.15*J120+0.25*K120+0.10*L120+0.05*M120+0.10*N120)))</f>
        <v/>
      </c>
      <c r="P120" s="7">
        <f>IFERROR(1/F120,"")</f>
        <v/>
      </c>
      <c r="Q120" s="7">
        <f>IF(OR(O120="",P120=""),"",O120-P120)</f>
        <v/>
      </c>
      <c r="R120" s="7">
        <f>IF(OR(O120="",F120=""),"",O120*F120-1)</f>
        <v/>
      </c>
      <c r="S120" s="2">
        <f>IF(C120="","",ROUND(100*(0.20*H120+0.15*I120+0.15*J120+0.25*K120+0.10*L120+0.05*M120+0.10*N120),0))</f>
        <v/>
      </c>
      <c r="T120" s="2">
        <f>IF(C120="","",IF(OR(F120&lt;PARAMETROS!$B$12,F120&gt;PARAMETROS!$B$13,G120&lt;PARAMETROS!$B$11),"NO APTO",IF(O120&lt;IF(F120&lt;1.6,CONFIG!$B$4,IF(F120&lt;1.7,CONFIG!$B$5,IF(F120&lt;1.8,CONFIG!$B$6,IF(F120&lt;2,CONFIG!$B$7,IF(F120&lt;2.2,CONFIG!$B$8,CONFIG!$B$9))))),"NO APTO",IF(R120&lt;PARAMETROS!$B$14,"NO APTO",IF(S120&gt;=PARAMETROS!$B$10,"ALERTA FUERTE",IF(S120&gt;=PARAMETROS!$B$9,"ALERTA MEDIA","NO APTO"))))))</f>
        <v/>
      </c>
      <c r="U120" s="2">
        <f>IF(T120="","",IF(T120="NO APTO","No cumple uno o más filtros",IF(T120="ALERTA FUERTE","Probabilidad, EV, muestra y score superan filtros","Cumple filtros con confianza media")))</f>
        <v/>
      </c>
    </row>
    <row r="121">
      <c r="A121" s="2">
        <f>IF(C121="","",ROW()-1)</f>
        <v/>
      </c>
      <c r="B121" s="2" t="n"/>
      <c r="C121" s="2" t="n"/>
      <c r="D121" s="2" t="n"/>
      <c r="E121" s="2" t="n"/>
      <c r="F121" s="6" t="n"/>
      <c r="G121" s="2" t="n"/>
      <c r="H121" s="7" t="n"/>
      <c r="I121" s="7" t="n"/>
      <c r="J121" s="7" t="n"/>
      <c r="K121" s="7" t="n"/>
      <c r="L121" s="7" t="n"/>
      <c r="M121" s="7" t="n"/>
      <c r="N121" s="7" t="n"/>
      <c r="O121" s="7">
        <f>IF(C121="","",MAX(0.05,MIN(0.95,0.20*H121+0.15*I121+0.15*J121+0.25*K121+0.10*L121+0.05*M121+0.10*N121)))</f>
        <v/>
      </c>
      <c r="P121" s="7">
        <f>IFERROR(1/F121,"")</f>
        <v/>
      </c>
      <c r="Q121" s="7">
        <f>IF(OR(O121="",P121=""),"",O121-P121)</f>
        <v/>
      </c>
      <c r="R121" s="7">
        <f>IF(OR(O121="",F121=""),"",O121*F121-1)</f>
        <v/>
      </c>
      <c r="S121" s="2">
        <f>IF(C121="","",ROUND(100*(0.20*H121+0.15*I121+0.15*J121+0.25*K121+0.10*L121+0.05*M121+0.10*N121),0))</f>
        <v/>
      </c>
      <c r="T121" s="2">
        <f>IF(C121="","",IF(OR(F121&lt;PARAMETROS!$B$12,F121&gt;PARAMETROS!$B$13,G121&lt;PARAMETROS!$B$11),"NO APTO",IF(O121&lt;IF(F121&lt;1.6,CONFIG!$B$4,IF(F121&lt;1.7,CONFIG!$B$5,IF(F121&lt;1.8,CONFIG!$B$6,IF(F121&lt;2,CONFIG!$B$7,IF(F121&lt;2.2,CONFIG!$B$8,CONFIG!$B$9))))),"NO APTO",IF(R121&lt;PARAMETROS!$B$14,"NO APTO",IF(S121&gt;=PARAMETROS!$B$10,"ALERTA FUERTE",IF(S121&gt;=PARAMETROS!$B$9,"ALERTA MEDIA","NO APTO"))))))</f>
        <v/>
      </c>
      <c r="U121" s="2">
        <f>IF(T121="","",IF(T121="NO APTO","No cumple uno o más filtros",IF(T121="ALERTA FUERTE","Probabilidad, EV, muestra y score superan filtros","Cumple filtros con confianza media")))</f>
        <v/>
      </c>
    </row>
    <row r="122">
      <c r="A122" s="2">
        <f>IF(C122="","",ROW()-1)</f>
        <v/>
      </c>
      <c r="B122" s="2" t="n"/>
      <c r="C122" s="2" t="n"/>
      <c r="D122" s="2" t="n"/>
      <c r="E122" s="2" t="n"/>
      <c r="F122" s="6" t="n"/>
      <c r="G122" s="2" t="n"/>
      <c r="H122" s="7" t="n"/>
      <c r="I122" s="7" t="n"/>
      <c r="J122" s="7" t="n"/>
      <c r="K122" s="7" t="n"/>
      <c r="L122" s="7" t="n"/>
      <c r="M122" s="7" t="n"/>
      <c r="N122" s="7" t="n"/>
      <c r="O122" s="7">
        <f>IF(C122="","",MAX(0.05,MIN(0.95,0.20*H122+0.15*I122+0.15*J122+0.25*K122+0.10*L122+0.05*M122+0.10*N122)))</f>
        <v/>
      </c>
      <c r="P122" s="7">
        <f>IFERROR(1/F122,"")</f>
        <v/>
      </c>
      <c r="Q122" s="7">
        <f>IF(OR(O122="",P122=""),"",O122-P122)</f>
        <v/>
      </c>
      <c r="R122" s="7">
        <f>IF(OR(O122="",F122=""),"",O122*F122-1)</f>
        <v/>
      </c>
      <c r="S122" s="2">
        <f>IF(C122="","",ROUND(100*(0.20*H122+0.15*I122+0.15*J122+0.25*K122+0.10*L122+0.05*M122+0.10*N122),0))</f>
        <v/>
      </c>
      <c r="T122" s="2">
        <f>IF(C122="","",IF(OR(F122&lt;PARAMETROS!$B$12,F122&gt;PARAMETROS!$B$13,G122&lt;PARAMETROS!$B$11),"NO APTO",IF(O122&lt;IF(F122&lt;1.6,CONFIG!$B$4,IF(F122&lt;1.7,CONFIG!$B$5,IF(F122&lt;1.8,CONFIG!$B$6,IF(F122&lt;2,CONFIG!$B$7,IF(F122&lt;2.2,CONFIG!$B$8,CONFIG!$B$9))))),"NO APTO",IF(R122&lt;PARAMETROS!$B$14,"NO APTO",IF(S122&gt;=PARAMETROS!$B$10,"ALERTA FUERTE",IF(S122&gt;=PARAMETROS!$B$9,"ALERTA MEDIA","NO APTO"))))))</f>
        <v/>
      </c>
      <c r="U122" s="2">
        <f>IF(T122="","",IF(T122="NO APTO","No cumple uno o más filtros",IF(T122="ALERTA FUERTE","Probabilidad, EV, muestra y score superan filtros","Cumple filtros con confianza media")))</f>
        <v/>
      </c>
    </row>
    <row r="123">
      <c r="A123" s="2">
        <f>IF(C123="","",ROW()-1)</f>
        <v/>
      </c>
      <c r="B123" s="2" t="n"/>
      <c r="C123" s="2" t="n"/>
      <c r="D123" s="2" t="n"/>
      <c r="E123" s="2" t="n"/>
      <c r="F123" s="6" t="n"/>
      <c r="G123" s="2" t="n"/>
      <c r="H123" s="7" t="n"/>
      <c r="I123" s="7" t="n"/>
      <c r="J123" s="7" t="n"/>
      <c r="K123" s="7" t="n"/>
      <c r="L123" s="7" t="n"/>
      <c r="M123" s="7" t="n"/>
      <c r="N123" s="7" t="n"/>
      <c r="O123" s="7">
        <f>IF(C123="","",MAX(0.05,MIN(0.95,0.20*H123+0.15*I123+0.15*J123+0.25*K123+0.10*L123+0.05*M123+0.10*N123)))</f>
        <v/>
      </c>
      <c r="P123" s="7">
        <f>IFERROR(1/F123,"")</f>
        <v/>
      </c>
      <c r="Q123" s="7">
        <f>IF(OR(O123="",P123=""),"",O123-P123)</f>
        <v/>
      </c>
      <c r="R123" s="7">
        <f>IF(OR(O123="",F123=""),"",O123*F123-1)</f>
        <v/>
      </c>
      <c r="S123" s="2">
        <f>IF(C123="","",ROUND(100*(0.20*H123+0.15*I123+0.15*J123+0.25*K123+0.10*L123+0.05*M123+0.10*N123),0))</f>
        <v/>
      </c>
      <c r="T123" s="2">
        <f>IF(C123="","",IF(OR(F123&lt;PARAMETROS!$B$12,F123&gt;PARAMETROS!$B$13,G123&lt;PARAMETROS!$B$11),"NO APTO",IF(O123&lt;IF(F123&lt;1.6,CONFIG!$B$4,IF(F123&lt;1.7,CONFIG!$B$5,IF(F123&lt;1.8,CONFIG!$B$6,IF(F123&lt;2,CONFIG!$B$7,IF(F123&lt;2.2,CONFIG!$B$8,CONFIG!$B$9))))),"NO APTO",IF(R123&lt;PARAMETROS!$B$14,"NO APTO",IF(S123&gt;=PARAMETROS!$B$10,"ALERTA FUERTE",IF(S123&gt;=PARAMETROS!$B$9,"ALERTA MEDIA","NO APTO"))))))</f>
        <v/>
      </c>
      <c r="U123" s="2">
        <f>IF(T123="","",IF(T123="NO APTO","No cumple uno o más filtros",IF(T123="ALERTA FUERTE","Probabilidad, EV, muestra y score superan filtros","Cumple filtros con confianza media")))</f>
        <v/>
      </c>
    </row>
    <row r="124">
      <c r="A124" s="2">
        <f>IF(C124="","",ROW()-1)</f>
        <v/>
      </c>
      <c r="B124" s="2" t="n"/>
      <c r="C124" s="2" t="n"/>
      <c r="D124" s="2" t="n"/>
      <c r="E124" s="2" t="n"/>
      <c r="F124" s="6" t="n"/>
      <c r="G124" s="2" t="n"/>
      <c r="H124" s="7" t="n"/>
      <c r="I124" s="7" t="n"/>
      <c r="J124" s="7" t="n"/>
      <c r="K124" s="7" t="n"/>
      <c r="L124" s="7" t="n"/>
      <c r="M124" s="7" t="n"/>
      <c r="N124" s="7" t="n"/>
      <c r="O124" s="7">
        <f>IF(C124="","",MAX(0.05,MIN(0.95,0.20*H124+0.15*I124+0.15*J124+0.25*K124+0.10*L124+0.05*M124+0.10*N124)))</f>
        <v/>
      </c>
      <c r="P124" s="7">
        <f>IFERROR(1/F124,"")</f>
        <v/>
      </c>
      <c r="Q124" s="7">
        <f>IF(OR(O124="",P124=""),"",O124-P124)</f>
        <v/>
      </c>
      <c r="R124" s="7">
        <f>IF(OR(O124="",F124=""),"",O124*F124-1)</f>
        <v/>
      </c>
      <c r="S124" s="2">
        <f>IF(C124="","",ROUND(100*(0.20*H124+0.15*I124+0.15*J124+0.25*K124+0.10*L124+0.05*M124+0.10*N124),0))</f>
        <v/>
      </c>
      <c r="T124" s="2">
        <f>IF(C124="","",IF(OR(F124&lt;PARAMETROS!$B$12,F124&gt;PARAMETROS!$B$13,G124&lt;PARAMETROS!$B$11),"NO APTO",IF(O124&lt;IF(F124&lt;1.6,CONFIG!$B$4,IF(F124&lt;1.7,CONFIG!$B$5,IF(F124&lt;1.8,CONFIG!$B$6,IF(F124&lt;2,CONFIG!$B$7,IF(F124&lt;2.2,CONFIG!$B$8,CONFIG!$B$9))))),"NO APTO",IF(R124&lt;PARAMETROS!$B$14,"NO APTO",IF(S124&gt;=PARAMETROS!$B$10,"ALERTA FUERTE",IF(S124&gt;=PARAMETROS!$B$9,"ALERTA MEDIA","NO APTO"))))))</f>
        <v/>
      </c>
      <c r="U124" s="2">
        <f>IF(T124="","",IF(T124="NO APTO","No cumple uno o más filtros",IF(T124="ALERTA FUERTE","Probabilidad, EV, muestra y score superan filtros","Cumple filtros con confianza media")))</f>
        <v/>
      </c>
    </row>
    <row r="125">
      <c r="A125" s="2">
        <f>IF(C125="","",ROW()-1)</f>
        <v/>
      </c>
      <c r="B125" s="2" t="n"/>
      <c r="C125" s="2" t="n"/>
      <c r="D125" s="2" t="n"/>
      <c r="E125" s="2" t="n"/>
      <c r="F125" s="6" t="n"/>
      <c r="G125" s="2" t="n"/>
      <c r="H125" s="7" t="n"/>
      <c r="I125" s="7" t="n"/>
      <c r="J125" s="7" t="n"/>
      <c r="K125" s="7" t="n"/>
      <c r="L125" s="7" t="n"/>
      <c r="M125" s="7" t="n"/>
      <c r="N125" s="7" t="n"/>
      <c r="O125" s="7">
        <f>IF(C125="","",MAX(0.05,MIN(0.95,0.20*H125+0.15*I125+0.15*J125+0.25*K125+0.10*L125+0.05*M125+0.10*N125)))</f>
        <v/>
      </c>
      <c r="P125" s="7">
        <f>IFERROR(1/F125,"")</f>
        <v/>
      </c>
      <c r="Q125" s="7">
        <f>IF(OR(O125="",P125=""),"",O125-P125)</f>
        <v/>
      </c>
      <c r="R125" s="7">
        <f>IF(OR(O125="",F125=""),"",O125*F125-1)</f>
        <v/>
      </c>
      <c r="S125" s="2">
        <f>IF(C125="","",ROUND(100*(0.20*H125+0.15*I125+0.15*J125+0.25*K125+0.10*L125+0.05*M125+0.10*N125),0))</f>
        <v/>
      </c>
      <c r="T125" s="2">
        <f>IF(C125="","",IF(OR(F125&lt;PARAMETROS!$B$12,F125&gt;PARAMETROS!$B$13,G125&lt;PARAMETROS!$B$11),"NO APTO",IF(O125&lt;IF(F125&lt;1.6,CONFIG!$B$4,IF(F125&lt;1.7,CONFIG!$B$5,IF(F125&lt;1.8,CONFIG!$B$6,IF(F125&lt;2,CONFIG!$B$7,IF(F125&lt;2.2,CONFIG!$B$8,CONFIG!$B$9))))),"NO APTO",IF(R125&lt;PARAMETROS!$B$14,"NO APTO",IF(S125&gt;=PARAMETROS!$B$10,"ALERTA FUERTE",IF(S125&gt;=PARAMETROS!$B$9,"ALERTA MEDIA","NO APTO"))))))</f>
        <v/>
      </c>
      <c r="U125" s="2">
        <f>IF(T125="","",IF(T125="NO APTO","No cumple uno o más filtros",IF(T125="ALERTA FUERTE","Probabilidad, EV, muestra y score superan filtros","Cumple filtros con confianza media")))</f>
        <v/>
      </c>
    </row>
    <row r="126">
      <c r="A126" s="2">
        <f>IF(C126="","",ROW()-1)</f>
        <v/>
      </c>
      <c r="B126" s="2" t="n"/>
      <c r="C126" s="2" t="n"/>
      <c r="D126" s="2" t="n"/>
      <c r="E126" s="2" t="n"/>
      <c r="F126" s="6" t="n"/>
      <c r="G126" s="2" t="n"/>
      <c r="H126" s="7" t="n"/>
      <c r="I126" s="7" t="n"/>
      <c r="J126" s="7" t="n"/>
      <c r="K126" s="7" t="n"/>
      <c r="L126" s="7" t="n"/>
      <c r="M126" s="7" t="n"/>
      <c r="N126" s="7" t="n"/>
      <c r="O126" s="7">
        <f>IF(C126="","",MAX(0.05,MIN(0.95,0.20*H126+0.15*I126+0.15*J126+0.25*K126+0.10*L126+0.05*M126+0.10*N126)))</f>
        <v/>
      </c>
      <c r="P126" s="7">
        <f>IFERROR(1/F126,"")</f>
        <v/>
      </c>
      <c r="Q126" s="7">
        <f>IF(OR(O126="",P126=""),"",O126-P126)</f>
        <v/>
      </c>
      <c r="R126" s="7">
        <f>IF(OR(O126="",F126=""),"",O126*F126-1)</f>
        <v/>
      </c>
      <c r="S126" s="2">
        <f>IF(C126="","",ROUND(100*(0.20*H126+0.15*I126+0.15*J126+0.25*K126+0.10*L126+0.05*M126+0.10*N126),0))</f>
        <v/>
      </c>
      <c r="T126" s="2">
        <f>IF(C126="","",IF(OR(F126&lt;PARAMETROS!$B$12,F126&gt;PARAMETROS!$B$13,G126&lt;PARAMETROS!$B$11),"NO APTO",IF(O126&lt;IF(F126&lt;1.6,CONFIG!$B$4,IF(F126&lt;1.7,CONFIG!$B$5,IF(F126&lt;1.8,CONFIG!$B$6,IF(F126&lt;2,CONFIG!$B$7,IF(F126&lt;2.2,CONFIG!$B$8,CONFIG!$B$9))))),"NO APTO",IF(R126&lt;PARAMETROS!$B$14,"NO APTO",IF(S126&gt;=PARAMETROS!$B$10,"ALERTA FUERTE",IF(S126&gt;=PARAMETROS!$B$9,"ALERTA MEDIA","NO APTO"))))))</f>
        <v/>
      </c>
      <c r="U126" s="2">
        <f>IF(T126="","",IF(T126="NO APTO","No cumple uno o más filtros",IF(T126="ALERTA FUERTE","Probabilidad, EV, muestra y score superan filtros","Cumple filtros con confianza media")))</f>
        <v/>
      </c>
    </row>
    <row r="127">
      <c r="A127" s="2">
        <f>IF(C127="","",ROW()-1)</f>
        <v/>
      </c>
      <c r="B127" s="2" t="n"/>
      <c r="C127" s="2" t="n"/>
      <c r="D127" s="2" t="n"/>
      <c r="E127" s="2" t="n"/>
      <c r="F127" s="6" t="n"/>
      <c r="G127" s="2" t="n"/>
      <c r="H127" s="7" t="n"/>
      <c r="I127" s="7" t="n"/>
      <c r="J127" s="7" t="n"/>
      <c r="K127" s="7" t="n"/>
      <c r="L127" s="7" t="n"/>
      <c r="M127" s="7" t="n"/>
      <c r="N127" s="7" t="n"/>
      <c r="O127" s="7">
        <f>IF(C127="","",MAX(0.05,MIN(0.95,0.20*H127+0.15*I127+0.15*J127+0.25*K127+0.10*L127+0.05*M127+0.10*N127)))</f>
        <v/>
      </c>
      <c r="P127" s="7">
        <f>IFERROR(1/F127,"")</f>
        <v/>
      </c>
      <c r="Q127" s="7">
        <f>IF(OR(O127="",P127=""),"",O127-P127)</f>
        <v/>
      </c>
      <c r="R127" s="7">
        <f>IF(OR(O127="",F127=""),"",O127*F127-1)</f>
        <v/>
      </c>
      <c r="S127" s="2">
        <f>IF(C127="","",ROUND(100*(0.20*H127+0.15*I127+0.15*J127+0.25*K127+0.10*L127+0.05*M127+0.10*N127),0))</f>
        <v/>
      </c>
      <c r="T127" s="2">
        <f>IF(C127="","",IF(OR(F127&lt;PARAMETROS!$B$12,F127&gt;PARAMETROS!$B$13,G127&lt;PARAMETROS!$B$11),"NO APTO",IF(O127&lt;IF(F127&lt;1.6,CONFIG!$B$4,IF(F127&lt;1.7,CONFIG!$B$5,IF(F127&lt;1.8,CONFIG!$B$6,IF(F127&lt;2,CONFIG!$B$7,IF(F127&lt;2.2,CONFIG!$B$8,CONFIG!$B$9))))),"NO APTO",IF(R127&lt;PARAMETROS!$B$14,"NO APTO",IF(S127&gt;=PARAMETROS!$B$10,"ALERTA FUERTE",IF(S127&gt;=PARAMETROS!$B$9,"ALERTA MEDIA","NO APTO"))))))</f>
        <v/>
      </c>
      <c r="U127" s="2">
        <f>IF(T127="","",IF(T127="NO APTO","No cumple uno o más filtros",IF(T127="ALERTA FUERTE","Probabilidad, EV, muestra y score superan filtros","Cumple filtros con confianza media")))</f>
        <v/>
      </c>
    </row>
    <row r="128">
      <c r="A128" s="2">
        <f>IF(C128="","",ROW()-1)</f>
        <v/>
      </c>
      <c r="B128" s="2" t="n"/>
      <c r="C128" s="2" t="n"/>
      <c r="D128" s="2" t="n"/>
      <c r="E128" s="2" t="n"/>
      <c r="F128" s="6" t="n"/>
      <c r="G128" s="2" t="n"/>
      <c r="H128" s="7" t="n"/>
      <c r="I128" s="7" t="n"/>
      <c r="J128" s="7" t="n"/>
      <c r="K128" s="7" t="n"/>
      <c r="L128" s="7" t="n"/>
      <c r="M128" s="7" t="n"/>
      <c r="N128" s="7" t="n"/>
      <c r="O128" s="7">
        <f>IF(C128="","",MAX(0.05,MIN(0.95,0.20*H128+0.15*I128+0.15*J128+0.25*K128+0.10*L128+0.05*M128+0.10*N128)))</f>
        <v/>
      </c>
      <c r="P128" s="7">
        <f>IFERROR(1/F128,"")</f>
        <v/>
      </c>
      <c r="Q128" s="7">
        <f>IF(OR(O128="",P128=""),"",O128-P128)</f>
        <v/>
      </c>
      <c r="R128" s="7">
        <f>IF(OR(O128="",F128=""),"",O128*F128-1)</f>
        <v/>
      </c>
      <c r="S128" s="2">
        <f>IF(C128="","",ROUND(100*(0.20*H128+0.15*I128+0.15*J128+0.25*K128+0.10*L128+0.05*M128+0.10*N128),0))</f>
        <v/>
      </c>
      <c r="T128" s="2">
        <f>IF(C128="","",IF(OR(F128&lt;PARAMETROS!$B$12,F128&gt;PARAMETROS!$B$13,G128&lt;PARAMETROS!$B$11),"NO APTO",IF(O128&lt;IF(F128&lt;1.6,CONFIG!$B$4,IF(F128&lt;1.7,CONFIG!$B$5,IF(F128&lt;1.8,CONFIG!$B$6,IF(F128&lt;2,CONFIG!$B$7,IF(F128&lt;2.2,CONFIG!$B$8,CONFIG!$B$9))))),"NO APTO",IF(R128&lt;PARAMETROS!$B$14,"NO APTO",IF(S128&gt;=PARAMETROS!$B$10,"ALERTA FUERTE",IF(S128&gt;=PARAMETROS!$B$9,"ALERTA MEDIA","NO APTO"))))))</f>
        <v/>
      </c>
      <c r="U128" s="2">
        <f>IF(T128="","",IF(T128="NO APTO","No cumple uno o más filtros",IF(T128="ALERTA FUERTE","Probabilidad, EV, muestra y score superan filtros","Cumple filtros con confianza media")))</f>
        <v/>
      </c>
    </row>
    <row r="129">
      <c r="A129" s="2">
        <f>IF(C129="","",ROW()-1)</f>
        <v/>
      </c>
      <c r="B129" s="2" t="n"/>
      <c r="C129" s="2" t="n"/>
      <c r="D129" s="2" t="n"/>
      <c r="E129" s="2" t="n"/>
      <c r="F129" s="6" t="n"/>
      <c r="G129" s="2" t="n"/>
      <c r="H129" s="7" t="n"/>
      <c r="I129" s="7" t="n"/>
      <c r="J129" s="7" t="n"/>
      <c r="K129" s="7" t="n"/>
      <c r="L129" s="7" t="n"/>
      <c r="M129" s="7" t="n"/>
      <c r="N129" s="7" t="n"/>
      <c r="O129" s="7">
        <f>IF(C129="","",MAX(0.05,MIN(0.95,0.20*H129+0.15*I129+0.15*J129+0.25*K129+0.10*L129+0.05*M129+0.10*N129)))</f>
        <v/>
      </c>
      <c r="P129" s="7">
        <f>IFERROR(1/F129,"")</f>
        <v/>
      </c>
      <c r="Q129" s="7">
        <f>IF(OR(O129="",P129=""),"",O129-P129)</f>
        <v/>
      </c>
      <c r="R129" s="7">
        <f>IF(OR(O129="",F129=""),"",O129*F129-1)</f>
        <v/>
      </c>
      <c r="S129" s="2">
        <f>IF(C129="","",ROUND(100*(0.20*H129+0.15*I129+0.15*J129+0.25*K129+0.10*L129+0.05*M129+0.10*N129),0))</f>
        <v/>
      </c>
      <c r="T129" s="2">
        <f>IF(C129="","",IF(OR(F129&lt;PARAMETROS!$B$12,F129&gt;PARAMETROS!$B$13,G129&lt;PARAMETROS!$B$11),"NO APTO",IF(O129&lt;IF(F129&lt;1.6,CONFIG!$B$4,IF(F129&lt;1.7,CONFIG!$B$5,IF(F129&lt;1.8,CONFIG!$B$6,IF(F129&lt;2,CONFIG!$B$7,IF(F129&lt;2.2,CONFIG!$B$8,CONFIG!$B$9))))),"NO APTO",IF(R129&lt;PARAMETROS!$B$14,"NO APTO",IF(S129&gt;=PARAMETROS!$B$10,"ALERTA FUERTE",IF(S129&gt;=PARAMETROS!$B$9,"ALERTA MEDIA","NO APTO"))))))</f>
        <v/>
      </c>
      <c r="U129" s="2">
        <f>IF(T129="","",IF(T129="NO APTO","No cumple uno o más filtros",IF(T129="ALERTA FUERTE","Probabilidad, EV, muestra y score superan filtros","Cumple filtros con confianza media")))</f>
        <v/>
      </c>
    </row>
    <row r="130">
      <c r="A130" s="2">
        <f>IF(C130="","",ROW()-1)</f>
        <v/>
      </c>
      <c r="B130" s="2" t="n"/>
      <c r="C130" s="2" t="n"/>
      <c r="D130" s="2" t="n"/>
      <c r="E130" s="2" t="n"/>
      <c r="F130" s="6" t="n"/>
      <c r="G130" s="2" t="n"/>
      <c r="H130" s="7" t="n"/>
      <c r="I130" s="7" t="n"/>
      <c r="J130" s="7" t="n"/>
      <c r="K130" s="7" t="n"/>
      <c r="L130" s="7" t="n"/>
      <c r="M130" s="7" t="n"/>
      <c r="N130" s="7" t="n"/>
      <c r="O130" s="7">
        <f>IF(C130="","",MAX(0.05,MIN(0.95,0.20*H130+0.15*I130+0.15*J130+0.25*K130+0.10*L130+0.05*M130+0.10*N130)))</f>
        <v/>
      </c>
      <c r="P130" s="7">
        <f>IFERROR(1/F130,"")</f>
        <v/>
      </c>
      <c r="Q130" s="7">
        <f>IF(OR(O130="",P130=""),"",O130-P130)</f>
        <v/>
      </c>
      <c r="R130" s="7">
        <f>IF(OR(O130="",F130=""),"",O130*F130-1)</f>
        <v/>
      </c>
      <c r="S130" s="2">
        <f>IF(C130="","",ROUND(100*(0.20*H130+0.15*I130+0.15*J130+0.25*K130+0.10*L130+0.05*M130+0.10*N130),0))</f>
        <v/>
      </c>
      <c r="T130" s="2">
        <f>IF(C130="","",IF(OR(F130&lt;PARAMETROS!$B$12,F130&gt;PARAMETROS!$B$13,G130&lt;PARAMETROS!$B$11),"NO APTO",IF(O130&lt;IF(F130&lt;1.6,CONFIG!$B$4,IF(F130&lt;1.7,CONFIG!$B$5,IF(F130&lt;1.8,CONFIG!$B$6,IF(F130&lt;2,CONFIG!$B$7,IF(F130&lt;2.2,CONFIG!$B$8,CONFIG!$B$9))))),"NO APTO",IF(R130&lt;PARAMETROS!$B$14,"NO APTO",IF(S130&gt;=PARAMETROS!$B$10,"ALERTA FUERTE",IF(S130&gt;=PARAMETROS!$B$9,"ALERTA MEDIA","NO APTO"))))))</f>
        <v/>
      </c>
      <c r="U130" s="2">
        <f>IF(T130="","",IF(T130="NO APTO","No cumple uno o más filtros",IF(T130="ALERTA FUERTE","Probabilidad, EV, muestra y score superan filtros","Cumple filtros con confianza media")))</f>
        <v/>
      </c>
    </row>
    <row r="131">
      <c r="A131" s="2">
        <f>IF(C131="","",ROW()-1)</f>
        <v/>
      </c>
      <c r="B131" s="2" t="n"/>
      <c r="C131" s="2" t="n"/>
      <c r="D131" s="2" t="n"/>
      <c r="E131" s="2" t="n"/>
      <c r="F131" s="6" t="n"/>
      <c r="G131" s="2" t="n"/>
      <c r="H131" s="7" t="n"/>
      <c r="I131" s="7" t="n"/>
      <c r="J131" s="7" t="n"/>
      <c r="K131" s="7" t="n"/>
      <c r="L131" s="7" t="n"/>
      <c r="M131" s="7" t="n"/>
      <c r="N131" s="7" t="n"/>
      <c r="O131" s="7">
        <f>IF(C131="","",MAX(0.05,MIN(0.95,0.20*H131+0.15*I131+0.15*J131+0.25*K131+0.10*L131+0.05*M131+0.10*N131)))</f>
        <v/>
      </c>
      <c r="P131" s="7">
        <f>IFERROR(1/F131,"")</f>
        <v/>
      </c>
      <c r="Q131" s="7">
        <f>IF(OR(O131="",P131=""),"",O131-P131)</f>
        <v/>
      </c>
      <c r="R131" s="7">
        <f>IF(OR(O131="",F131=""),"",O131*F131-1)</f>
        <v/>
      </c>
      <c r="S131" s="2">
        <f>IF(C131="","",ROUND(100*(0.20*H131+0.15*I131+0.15*J131+0.25*K131+0.10*L131+0.05*M131+0.10*N131),0))</f>
        <v/>
      </c>
      <c r="T131" s="2">
        <f>IF(C131="","",IF(OR(F131&lt;PARAMETROS!$B$12,F131&gt;PARAMETROS!$B$13,G131&lt;PARAMETROS!$B$11),"NO APTO",IF(O131&lt;IF(F131&lt;1.6,CONFIG!$B$4,IF(F131&lt;1.7,CONFIG!$B$5,IF(F131&lt;1.8,CONFIG!$B$6,IF(F131&lt;2,CONFIG!$B$7,IF(F131&lt;2.2,CONFIG!$B$8,CONFIG!$B$9))))),"NO APTO",IF(R131&lt;PARAMETROS!$B$14,"NO APTO",IF(S131&gt;=PARAMETROS!$B$10,"ALERTA FUERTE",IF(S131&gt;=PARAMETROS!$B$9,"ALERTA MEDIA","NO APTO"))))))</f>
        <v/>
      </c>
      <c r="U131" s="2">
        <f>IF(T131="","",IF(T131="NO APTO","No cumple uno o más filtros",IF(T131="ALERTA FUERTE","Probabilidad, EV, muestra y score superan filtros","Cumple filtros con confianza media")))</f>
        <v/>
      </c>
    </row>
    <row r="132">
      <c r="A132" s="2">
        <f>IF(C132="","",ROW()-1)</f>
        <v/>
      </c>
      <c r="B132" s="2" t="n"/>
      <c r="C132" s="2" t="n"/>
      <c r="D132" s="2" t="n"/>
      <c r="E132" s="2" t="n"/>
      <c r="F132" s="6" t="n"/>
      <c r="G132" s="2" t="n"/>
      <c r="H132" s="7" t="n"/>
      <c r="I132" s="7" t="n"/>
      <c r="J132" s="7" t="n"/>
      <c r="K132" s="7" t="n"/>
      <c r="L132" s="7" t="n"/>
      <c r="M132" s="7" t="n"/>
      <c r="N132" s="7" t="n"/>
      <c r="O132" s="7">
        <f>IF(C132="","",MAX(0.05,MIN(0.95,0.20*H132+0.15*I132+0.15*J132+0.25*K132+0.10*L132+0.05*M132+0.10*N132)))</f>
        <v/>
      </c>
      <c r="P132" s="7">
        <f>IFERROR(1/F132,"")</f>
        <v/>
      </c>
      <c r="Q132" s="7">
        <f>IF(OR(O132="",P132=""),"",O132-P132)</f>
        <v/>
      </c>
      <c r="R132" s="7">
        <f>IF(OR(O132="",F132=""),"",O132*F132-1)</f>
        <v/>
      </c>
      <c r="S132" s="2">
        <f>IF(C132="","",ROUND(100*(0.20*H132+0.15*I132+0.15*J132+0.25*K132+0.10*L132+0.05*M132+0.10*N132),0))</f>
        <v/>
      </c>
      <c r="T132" s="2">
        <f>IF(C132="","",IF(OR(F132&lt;PARAMETROS!$B$12,F132&gt;PARAMETROS!$B$13,G132&lt;PARAMETROS!$B$11),"NO APTO",IF(O132&lt;IF(F132&lt;1.6,CONFIG!$B$4,IF(F132&lt;1.7,CONFIG!$B$5,IF(F132&lt;1.8,CONFIG!$B$6,IF(F132&lt;2,CONFIG!$B$7,IF(F132&lt;2.2,CONFIG!$B$8,CONFIG!$B$9))))),"NO APTO",IF(R132&lt;PARAMETROS!$B$14,"NO APTO",IF(S132&gt;=PARAMETROS!$B$10,"ALERTA FUERTE",IF(S132&gt;=PARAMETROS!$B$9,"ALERTA MEDIA","NO APTO"))))))</f>
        <v/>
      </c>
      <c r="U132" s="2">
        <f>IF(T132="","",IF(T132="NO APTO","No cumple uno o más filtros",IF(T132="ALERTA FUERTE","Probabilidad, EV, muestra y score superan filtros","Cumple filtros con confianza media")))</f>
        <v/>
      </c>
    </row>
    <row r="133">
      <c r="A133" s="2">
        <f>IF(C133="","",ROW()-1)</f>
        <v/>
      </c>
      <c r="B133" s="2" t="n"/>
      <c r="C133" s="2" t="n"/>
      <c r="D133" s="2" t="n"/>
      <c r="E133" s="2" t="n"/>
      <c r="F133" s="6" t="n"/>
      <c r="G133" s="2" t="n"/>
      <c r="H133" s="7" t="n"/>
      <c r="I133" s="7" t="n"/>
      <c r="J133" s="7" t="n"/>
      <c r="K133" s="7" t="n"/>
      <c r="L133" s="7" t="n"/>
      <c r="M133" s="7" t="n"/>
      <c r="N133" s="7" t="n"/>
      <c r="O133" s="7">
        <f>IF(C133="","",MAX(0.05,MIN(0.95,0.20*H133+0.15*I133+0.15*J133+0.25*K133+0.10*L133+0.05*M133+0.10*N133)))</f>
        <v/>
      </c>
      <c r="P133" s="7">
        <f>IFERROR(1/F133,"")</f>
        <v/>
      </c>
      <c r="Q133" s="7">
        <f>IF(OR(O133="",P133=""),"",O133-P133)</f>
        <v/>
      </c>
      <c r="R133" s="7">
        <f>IF(OR(O133="",F133=""),"",O133*F133-1)</f>
        <v/>
      </c>
      <c r="S133" s="2">
        <f>IF(C133="","",ROUND(100*(0.20*H133+0.15*I133+0.15*J133+0.25*K133+0.10*L133+0.05*M133+0.10*N133),0))</f>
        <v/>
      </c>
      <c r="T133" s="2">
        <f>IF(C133="","",IF(OR(F133&lt;PARAMETROS!$B$12,F133&gt;PARAMETROS!$B$13,G133&lt;PARAMETROS!$B$11),"NO APTO",IF(O133&lt;IF(F133&lt;1.6,CONFIG!$B$4,IF(F133&lt;1.7,CONFIG!$B$5,IF(F133&lt;1.8,CONFIG!$B$6,IF(F133&lt;2,CONFIG!$B$7,IF(F133&lt;2.2,CONFIG!$B$8,CONFIG!$B$9))))),"NO APTO",IF(R133&lt;PARAMETROS!$B$14,"NO APTO",IF(S133&gt;=PARAMETROS!$B$10,"ALERTA FUERTE",IF(S133&gt;=PARAMETROS!$B$9,"ALERTA MEDIA","NO APTO"))))))</f>
        <v/>
      </c>
      <c r="U133" s="2">
        <f>IF(T133="","",IF(T133="NO APTO","No cumple uno o más filtros",IF(T133="ALERTA FUERTE","Probabilidad, EV, muestra y score superan filtros","Cumple filtros con confianza media")))</f>
        <v/>
      </c>
    </row>
    <row r="134">
      <c r="A134" s="2">
        <f>IF(C134="","",ROW()-1)</f>
        <v/>
      </c>
      <c r="B134" s="2" t="n"/>
      <c r="C134" s="2" t="n"/>
      <c r="D134" s="2" t="n"/>
      <c r="E134" s="2" t="n"/>
      <c r="F134" s="6" t="n"/>
      <c r="G134" s="2" t="n"/>
      <c r="H134" s="7" t="n"/>
      <c r="I134" s="7" t="n"/>
      <c r="J134" s="7" t="n"/>
      <c r="K134" s="7" t="n"/>
      <c r="L134" s="7" t="n"/>
      <c r="M134" s="7" t="n"/>
      <c r="N134" s="7" t="n"/>
      <c r="O134" s="7">
        <f>IF(C134="","",MAX(0.05,MIN(0.95,0.20*H134+0.15*I134+0.15*J134+0.25*K134+0.10*L134+0.05*M134+0.10*N134)))</f>
        <v/>
      </c>
      <c r="P134" s="7">
        <f>IFERROR(1/F134,"")</f>
        <v/>
      </c>
      <c r="Q134" s="7">
        <f>IF(OR(O134="",P134=""),"",O134-P134)</f>
        <v/>
      </c>
      <c r="R134" s="7">
        <f>IF(OR(O134="",F134=""),"",O134*F134-1)</f>
        <v/>
      </c>
      <c r="S134" s="2">
        <f>IF(C134="","",ROUND(100*(0.20*H134+0.15*I134+0.15*J134+0.25*K134+0.10*L134+0.05*M134+0.10*N134),0))</f>
        <v/>
      </c>
      <c r="T134" s="2">
        <f>IF(C134="","",IF(OR(F134&lt;PARAMETROS!$B$12,F134&gt;PARAMETROS!$B$13,G134&lt;PARAMETROS!$B$11),"NO APTO",IF(O134&lt;IF(F134&lt;1.6,CONFIG!$B$4,IF(F134&lt;1.7,CONFIG!$B$5,IF(F134&lt;1.8,CONFIG!$B$6,IF(F134&lt;2,CONFIG!$B$7,IF(F134&lt;2.2,CONFIG!$B$8,CONFIG!$B$9))))),"NO APTO",IF(R134&lt;PARAMETROS!$B$14,"NO APTO",IF(S134&gt;=PARAMETROS!$B$10,"ALERTA FUERTE",IF(S134&gt;=PARAMETROS!$B$9,"ALERTA MEDIA","NO APTO"))))))</f>
        <v/>
      </c>
      <c r="U134" s="2">
        <f>IF(T134="","",IF(T134="NO APTO","No cumple uno o más filtros",IF(T134="ALERTA FUERTE","Probabilidad, EV, muestra y score superan filtros","Cumple filtros con confianza media")))</f>
        <v/>
      </c>
    </row>
    <row r="135">
      <c r="A135" s="2">
        <f>IF(C135="","",ROW()-1)</f>
        <v/>
      </c>
      <c r="B135" s="2" t="n"/>
      <c r="C135" s="2" t="n"/>
      <c r="D135" s="2" t="n"/>
      <c r="E135" s="2" t="n"/>
      <c r="F135" s="6" t="n"/>
      <c r="G135" s="2" t="n"/>
      <c r="H135" s="7" t="n"/>
      <c r="I135" s="7" t="n"/>
      <c r="J135" s="7" t="n"/>
      <c r="K135" s="7" t="n"/>
      <c r="L135" s="7" t="n"/>
      <c r="M135" s="7" t="n"/>
      <c r="N135" s="7" t="n"/>
      <c r="O135" s="7">
        <f>IF(C135="","",MAX(0.05,MIN(0.95,0.20*H135+0.15*I135+0.15*J135+0.25*K135+0.10*L135+0.05*M135+0.10*N135)))</f>
        <v/>
      </c>
      <c r="P135" s="7">
        <f>IFERROR(1/F135,"")</f>
        <v/>
      </c>
      <c r="Q135" s="7">
        <f>IF(OR(O135="",P135=""),"",O135-P135)</f>
        <v/>
      </c>
      <c r="R135" s="7">
        <f>IF(OR(O135="",F135=""),"",O135*F135-1)</f>
        <v/>
      </c>
      <c r="S135" s="2">
        <f>IF(C135="","",ROUND(100*(0.20*H135+0.15*I135+0.15*J135+0.25*K135+0.10*L135+0.05*M135+0.10*N135),0))</f>
        <v/>
      </c>
      <c r="T135" s="2">
        <f>IF(C135="","",IF(OR(F135&lt;PARAMETROS!$B$12,F135&gt;PARAMETROS!$B$13,G135&lt;PARAMETROS!$B$11),"NO APTO",IF(O135&lt;IF(F135&lt;1.6,CONFIG!$B$4,IF(F135&lt;1.7,CONFIG!$B$5,IF(F135&lt;1.8,CONFIG!$B$6,IF(F135&lt;2,CONFIG!$B$7,IF(F135&lt;2.2,CONFIG!$B$8,CONFIG!$B$9))))),"NO APTO",IF(R135&lt;PARAMETROS!$B$14,"NO APTO",IF(S135&gt;=PARAMETROS!$B$10,"ALERTA FUERTE",IF(S135&gt;=PARAMETROS!$B$9,"ALERTA MEDIA","NO APTO"))))))</f>
        <v/>
      </c>
      <c r="U135" s="2">
        <f>IF(T135="","",IF(T135="NO APTO","No cumple uno o más filtros",IF(T135="ALERTA FUERTE","Probabilidad, EV, muestra y score superan filtros","Cumple filtros con confianza media")))</f>
        <v/>
      </c>
    </row>
    <row r="136">
      <c r="A136" s="2">
        <f>IF(C136="","",ROW()-1)</f>
        <v/>
      </c>
      <c r="B136" s="2" t="n"/>
      <c r="C136" s="2" t="n"/>
      <c r="D136" s="2" t="n"/>
      <c r="E136" s="2" t="n"/>
      <c r="F136" s="6" t="n"/>
      <c r="G136" s="2" t="n"/>
      <c r="H136" s="7" t="n"/>
      <c r="I136" s="7" t="n"/>
      <c r="J136" s="7" t="n"/>
      <c r="K136" s="7" t="n"/>
      <c r="L136" s="7" t="n"/>
      <c r="M136" s="7" t="n"/>
      <c r="N136" s="7" t="n"/>
      <c r="O136" s="7">
        <f>IF(C136="","",MAX(0.05,MIN(0.95,0.20*H136+0.15*I136+0.15*J136+0.25*K136+0.10*L136+0.05*M136+0.10*N136)))</f>
        <v/>
      </c>
      <c r="P136" s="7">
        <f>IFERROR(1/F136,"")</f>
        <v/>
      </c>
      <c r="Q136" s="7">
        <f>IF(OR(O136="",P136=""),"",O136-P136)</f>
        <v/>
      </c>
      <c r="R136" s="7">
        <f>IF(OR(O136="",F136=""),"",O136*F136-1)</f>
        <v/>
      </c>
      <c r="S136" s="2">
        <f>IF(C136="","",ROUND(100*(0.20*H136+0.15*I136+0.15*J136+0.25*K136+0.10*L136+0.05*M136+0.10*N136),0))</f>
        <v/>
      </c>
      <c r="T136" s="2">
        <f>IF(C136="","",IF(OR(F136&lt;PARAMETROS!$B$12,F136&gt;PARAMETROS!$B$13,G136&lt;PARAMETROS!$B$11),"NO APTO",IF(O136&lt;IF(F136&lt;1.6,CONFIG!$B$4,IF(F136&lt;1.7,CONFIG!$B$5,IF(F136&lt;1.8,CONFIG!$B$6,IF(F136&lt;2,CONFIG!$B$7,IF(F136&lt;2.2,CONFIG!$B$8,CONFIG!$B$9))))),"NO APTO",IF(R136&lt;PARAMETROS!$B$14,"NO APTO",IF(S136&gt;=PARAMETROS!$B$10,"ALERTA FUERTE",IF(S136&gt;=PARAMETROS!$B$9,"ALERTA MEDIA","NO APTO"))))))</f>
        <v/>
      </c>
      <c r="U136" s="2">
        <f>IF(T136="","",IF(T136="NO APTO","No cumple uno o más filtros",IF(T136="ALERTA FUERTE","Probabilidad, EV, muestra y score superan filtros","Cumple filtros con confianza media")))</f>
        <v/>
      </c>
    </row>
    <row r="137">
      <c r="A137" s="2">
        <f>IF(C137="","",ROW()-1)</f>
        <v/>
      </c>
      <c r="B137" s="2" t="n"/>
      <c r="C137" s="2" t="n"/>
      <c r="D137" s="2" t="n"/>
      <c r="E137" s="2" t="n"/>
      <c r="F137" s="6" t="n"/>
      <c r="G137" s="2" t="n"/>
      <c r="H137" s="7" t="n"/>
      <c r="I137" s="7" t="n"/>
      <c r="J137" s="7" t="n"/>
      <c r="K137" s="7" t="n"/>
      <c r="L137" s="7" t="n"/>
      <c r="M137" s="7" t="n"/>
      <c r="N137" s="7" t="n"/>
      <c r="O137" s="7">
        <f>IF(C137="","",MAX(0.05,MIN(0.95,0.20*H137+0.15*I137+0.15*J137+0.25*K137+0.10*L137+0.05*M137+0.10*N137)))</f>
        <v/>
      </c>
      <c r="P137" s="7">
        <f>IFERROR(1/F137,"")</f>
        <v/>
      </c>
      <c r="Q137" s="7">
        <f>IF(OR(O137="",P137=""),"",O137-P137)</f>
        <v/>
      </c>
      <c r="R137" s="7">
        <f>IF(OR(O137="",F137=""),"",O137*F137-1)</f>
        <v/>
      </c>
      <c r="S137" s="2">
        <f>IF(C137="","",ROUND(100*(0.20*H137+0.15*I137+0.15*J137+0.25*K137+0.10*L137+0.05*M137+0.10*N137),0))</f>
        <v/>
      </c>
      <c r="T137" s="2">
        <f>IF(C137="","",IF(OR(F137&lt;PARAMETROS!$B$12,F137&gt;PARAMETROS!$B$13,G137&lt;PARAMETROS!$B$11),"NO APTO",IF(O137&lt;IF(F137&lt;1.6,CONFIG!$B$4,IF(F137&lt;1.7,CONFIG!$B$5,IF(F137&lt;1.8,CONFIG!$B$6,IF(F137&lt;2,CONFIG!$B$7,IF(F137&lt;2.2,CONFIG!$B$8,CONFIG!$B$9))))),"NO APTO",IF(R137&lt;PARAMETROS!$B$14,"NO APTO",IF(S137&gt;=PARAMETROS!$B$10,"ALERTA FUERTE",IF(S137&gt;=PARAMETROS!$B$9,"ALERTA MEDIA","NO APTO"))))))</f>
        <v/>
      </c>
      <c r="U137" s="2">
        <f>IF(T137="","",IF(T137="NO APTO","No cumple uno o más filtros",IF(T137="ALERTA FUERTE","Probabilidad, EV, muestra y score superan filtros","Cumple filtros con confianza media")))</f>
        <v/>
      </c>
    </row>
    <row r="138">
      <c r="A138" s="2">
        <f>IF(C138="","",ROW()-1)</f>
        <v/>
      </c>
      <c r="B138" s="2" t="n"/>
      <c r="C138" s="2" t="n"/>
      <c r="D138" s="2" t="n"/>
      <c r="E138" s="2" t="n"/>
      <c r="F138" s="6" t="n"/>
      <c r="G138" s="2" t="n"/>
      <c r="H138" s="7" t="n"/>
      <c r="I138" s="7" t="n"/>
      <c r="J138" s="7" t="n"/>
      <c r="K138" s="7" t="n"/>
      <c r="L138" s="7" t="n"/>
      <c r="M138" s="7" t="n"/>
      <c r="N138" s="7" t="n"/>
      <c r="O138" s="7">
        <f>IF(C138="","",MAX(0.05,MIN(0.95,0.20*H138+0.15*I138+0.15*J138+0.25*K138+0.10*L138+0.05*M138+0.10*N138)))</f>
        <v/>
      </c>
      <c r="P138" s="7">
        <f>IFERROR(1/F138,"")</f>
        <v/>
      </c>
      <c r="Q138" s="7">
        <f>IF(OR(O138="",P138=""),"",O138-P138)</f>
        <v/>
      </c>
      <c r="R138" s="7">
        <f>IF(OR(O138="",F138=""),"",O138*F138-1)</f>
        <v/>
      </c>
      <c r="S138" s="2">
        <f>IF(C138="","",ROUND(100*(0.20*H138+0.15*I138+0.15*J138+0.25*K138+0.10*L138+0.05*M138+0.10*N138),0))</f>
        <v/>
      </c>
      <c r="T138" s="2">
        <f>IF(C138="","",IF(OR(F138&lt;PARAMETROS!$B$12,F138&gt;PARAMETROS!$B$13,G138&lt;PARAMETROS!$B$11),"NO APTO",IF(O138&lt;IF(F138&lt;1.6,CONFIG!$B$4,IF(F138&lt;1.7,CONFIG!$B$5,IF(F138&lt;1.8,CONFIG!$B$6,IF(F138&lt;2,CONFIG!$B$7,IF(F138&lt;2.2,CONFIG!$B$8,CONFIG!$B$9))))),"NO APTO",IF(R138&lt;PARAMETROS!$B$14,"NO APTO",IF(S138&gt;=PARAMETROS!$B$10,"ALERTA FUERTE",IF(S138&gt;=PARAMETROS!$B$9,"ALERTA MEDIA","NO APTO"))))))</f>
        <v/>
      </c>
      <c r="U138" s="2">
        <f>IF(T138="","",IF(T138="NO APTO","No cumple uno o más filtros",IF(T138="ALERTA FUERTE","Probabilidad, EV, muestra y score superan filtros","Cumple filtros con confianza media")))</f>
        <v/>
      </c>
    </row>
    <row r="139">
      <c r="A139" s="2">
        <f>IF(C139="","",ROW()-1)</f>
        <v/>
      </c>
      <c r="B139" s="2" t="n"/>
      <c r="C139" s="2" t="n"/>
      <c r="D139" s="2" t="n"/>
      <c r="E139" s="2" t="n"/>
      <c r="F139" s="6" t="n"/>
      <c r="G139" s="2" t="n"/>
      <c r="H139" s="7" t="n"/>
      <c r="I139" s="7" t="n"/>
      <c r="J139" s="7" t="n"/>
      <c r="K139" s="7" t="n"/>
      <c r="L139" s="7" t="n"/>
      <c r="M139" s="7" t="n"/>
      <c r="N139" s="7" t="n"/>
      <c r="O139" s="7">
        <f>IF(C139="","",MAX(0.05,MIN(0.95,0.20*H139+0.15*I139+0.15*J139+0.25*K139+0.10*L139+0.05*M139+0.10*N139)))</f>
        <v/>
      </c>
      <c r="P139" s="7">
        <f>IFERROR(1/F139,"")</f>
        <v/>
      </c>
      <c r="Q139" s="7">
        <f>IF(OR(O139="",P139=""),"",O139-P139)</f>
        <v/>
      </c>
      <c r="R139" s="7">
        <f>IF(OR(O139="",F139=""),"",O139*F139-1)</f>
        <v/>
      </c>
      <c r="S139" s="2">
        <f>IF(C139="","",ROUND(100*(0.20*H139+0.15*I139+0.15*J139+0.25*K139+0.10*L139+0.05*M139+0.10*N139),0))</f>
        <v/>
      </c>
      <c r="T139" s="2">
        <f>IF(C139="","",IF(OR(F139&lt;PARAMETROS!$B$12,F139&gt;PARAMETROS!$B$13,G139&lt;PARAMETROS!$B$11),"NO APTO",IF(O139&lt;IF(F139&lt;1.6,CONFIG!$B$4,IF(F139&lt;1.7,CONFIG!$B$5,IF(F139&lt;1.8,CONFIG!$B$6,IF(F139&lt;2,CONFIG!$B$7,IF(F139&lt;2.2,CONFIG!$B$8,CONFIG!$B$9))))),"NO APTO",IF(R139&lt;PARAMETROS!$B$14,"NO APTO",IF(S139&gt;=PARAMETROS!$B$10,"ALERTA FUERTE",IF(S139&gt;=PARAMETROS!$B$9,"ALERTA MEDIA","NO APTO"))))))</f>
        <v/>
      </c>
      <c r="U139" s="2">
        <f>IF(T139="","",IF(T139="NO APTO","No cumple uno o más filtros",IF(T139="ALERTA FUERTE","Probabilidad, EV, muestra y score superan filtros","Cumple filtros con confianza media")))</f>
        <v/>
      </c>
    </row>
    <row r="140">
      <c r="A140" s="2">
        <f>IF(C140="","",ROW()-1)</f>
        <v/>
      </c>
      <c r="B140" s="2" t="n"/>
      <c r="C140" s="2" t="n"/>
      <c r="D140" s="2" t="n"/>
      <c r="E140" s="2" t="n"/>
      <c r="F140" s="6" t="n"/>
      <c r="G140" s="2" t="n"/>
      <c r="H140" s="7" t="n"/>
      <c r="I140" s="7" t="n"/>
      <c r="J140" s="7" t="n"/>
      <c r="K140" s="7" t="n"/>
      <c r="L140" s="7" t="n"/>
      <c r="M140" s="7" t="n"/>
      <c r="N140" s="7" t="n"/>
      <c r="O140" s="7">
        <f>IF(C140="","",MAX(0.05,MIN(0.95,0.20*H140+0.15*I140+0.15*J140+0.25*K140+0.10*L140+0.05*M140+0.10*N140)))</f>
        <v/>
      </c>
      <c r="P140" s="7">
        <f>IFERROR(1/F140,"")</f>
        <v/>
      </c>
      <c r="Q140" s="7">
        <f>IF(OR(O140="",P140=""),"",O140-P140)</f>
        <v/>
      </c>
      <c r="R140" s="7">
        <f>IF(OR(O140="",F140=""),"",O140*F140-1)</f>
        <v/>
      </c>
      <c r="S140" s="2">
        <f>IF(C140="","",ROUND(100*(0.20*H140+0.15*I140+0.15*J140+0.25*K140+0.10*L140+0.05*M140+0.10*N140),0))</f>
        <v/>
      </c>
      <c r="T140" s="2">
        <f>IF(C140="","",IF(OR(F140&lt;PARAMETROS!$B$12,F140&gt;PARAMETROS!$B$13,G140&lt;PARAMETROS!$B$11),"NO APTO",IF(O140&lt;IF(F140&lt;1.6,CONFIG!$B$4,IF(F140&lt;1.7,CONFIG!$B$5,IF(F140&lt;1.8,CONFIG!$B$6,IF(F140&lt;2,CONFIG!$B$7,IF(F140&lt;2.2,CONFIG!$B$8,CONFIG!$B$9))))),"NO APTO",IF(R140&lt;PARAMETROS!$B$14,"NO APTO",IF(S140&gt;=PARAMETROS!$B$10,"ALERTA FUERTE",IF(S140&gt;=PARAMETROS!$B$9,"ALERTA MEDIA","NO APTO"))))))</f>
        <v/>
      </c>
      <c r="U140" s="2">
        <f>IF(T140="","",IF(T140="NO APTO","No cumple uno o más filtros",IF(T140="ALERTA FUERTE","Probabilidad, EV, muestra y score superan filtros","Cumple filtros con confianza media")))</f>
        <v/>
      </c>
    </row>
    <row r="141">
      <c r="A141" s="2">
        <f>IF(C141="","",ROW()-1)</f>
        <v/>
      </c>
      <c r="B141" s="2" t="n"/>
      <c r="C141" s="2" t="n"/>
      <c r="D141" s="2" t="n"/>
      <c r="E141" s="2" t="n"/>
      <c r="F141" s="6" t="n"/>
      <c r="G141" s="2" t="n"/>
      <c r="H141" s="7" t="n"/>
      <c r="I141" s="7" t="n"/>
      <c r="J141" s="7" t="n"/>
      <c r="K141" s="7" t="n"/>
      <c r="L141" s="7" t="n"/>
      <c r="M141" s="7" t="n"/>
      <c r="N141" s="7" t="n"/>
      <c r="O141" s="7">
        <f>IF(C141="","",MAX(0.05,MIN(0.95,0.20*H141+0.15*I141+0.15*J141+0.25*K141+0.10*L141+0.05*M141+0.10*N141)))</f>
        <v/>
      </c>
      <c r="P141" s="7">
        <f>IFERROR(1/F141,"")</f>
        <v/>
      </c>
      <c r="Q141" s="7">
        <f>IF(OR(O141="",P141=""),"",O141-P141)</f>
        <v/>
      </c>
      <c r="R141" s="7">
        <f>IF(OR(O141="",F141=""),"",O141*F141-1)</f>
        <v/>
      </c>
      <c r="S141" s="2">
        <f>IF(C141="","",ROUND(100*(0.20*H141+0.15*I141+0.15*J141+0.25*K141+0.10*L141+0.05*M141+0.10*N141),0))</f>
        <v/>
      </c>
      <c r="T141" s="2">
        <f>IF(C141="","",IF(OR(F141&lt;PARAMETROS!$B$12,F141&gt;PARAMETROS!$B$13,G141&lt;PARAMETROS!$B$11),"NO APTO",IF(O141&lt;IF(F141&lt;1.6,CONFIG!$B$4,IF(F141&lt;1.7,CONFIG!$B$5,IF(F141&lt;1.8,CONFIG!$B$6,IF(F141&lt;2,CONFIG!$B$7,IF(F141&lt;2.2,CONFIG!$B$8,CONFIG!$B$9))))),"NO APTO",IF(R141&lt;PARAMETROS!$B$14,"NO APTO",IF(S141&gt;=PARAMETROS!$B$10,"ALERTA FUERTE",IF(S141&gt;=PARAMETROS!$B$9,"ALERTA MEDIA","NO APTO"))))))</f>
        <v/>
      </c>
      <c r="U141" s="2">
        <f>IF(T141="","",IF(T141="NO APTO","No cumple uno o más filtros",IF(T141="ALERTA FUERTE","Probabilidad, EV, muestra y score superan filtros","Cumple filtros con confianza media")))</f>
        <v/>
      </c>
    </row>
    <row r="142">
      <c r="A142" s="2">
        <f>IF(C142="","",ROW()-1)</f>
        <v/>
      </c>
      <c r="B142" s="2" t="n"/>
      <c r="C142" s="2" t="n"/>
      <c r="D142" s="2" t="n"/>
      <c r="E142" s="2" t="n"/>
      <c r="F142" s="6" t="n"/>
      <c r="G142" s="2" t="n"/>
      <c r="H142" s="7" t="n"/>
      <c r="I142" s="7" t="n"/>
      <c r="J142" s="7" t="n"/>
      <c r="K142" s="7" t="n"/>
      <c r="L142" s="7" t="n"/>
      <c r="M142" s="7" t="n"/>
      <c r="N142" s="7" t="n"/>
      <c r="O142" s="7">
        <f>IF(C142="","",MAX(0.05,MIN(0.95,0.20*H142+0.15*I142+0.15*J142+0.25*K142+0.10*L142+0.05*M142+0.10*N142)))</f>
        <v/>
      </c>
      <c r="P142" s="7">
        <f>IFERROR(1/F142,"")</f>
        <v/>
      </c>
      <c r="Q142" s="7">
        <f>IF(OR(O142="",P142=""),"",O142-P142)</f>
        <v/>
      </c>
      <c r="R142" s="7">
        <f>IF(OR(O142="",F142=""),"",O142*F142-1)</f>
        <v/>
      </c>
      <c r="S142" s="2">
        <f>IF(C142="","",ROUND(100*(0.20*H142+0.15*I142+0.15*J142+0.25*K142+0.10*L142+0.05*M142+0.10*N142),0))</f>
        <v/>
      </c>
      <c r="T142" s="2">
        <f>IF(C142="","",IF(OR(F142&lt;PARAMETROS!$B$12,F142&gt;PARAMETROS!$B$13,G142&lt;PARAMETROS!$B$11),"NO APTO",IF(O142&lt;IF(F142&lt;1.6,CONFIG!$B$4,IF(F142&lt;1.7,CONFIG!$B$5,IF(F142&lt;1.8,CONFIG!$B$6,IF(F142&lt;2,CONFIG!$B$7,IF(F142&lt;2.2,CONFIG!$B$8,CONFIG!$B$9))))),"NO APTO",IF(R142&lt;PARAMETROS!$B$14,"NO APTO",IF(S142&gt;=PARAMETROS!$B$10,"ALERTA FUERTE",IF(S142&gt;=PARAMETROS!$B$9,"ALERTA MEDIA","NO APTO"))))))</f>
        <v/>
      </c>
      <c r="U142" s="2">
        <f>IF(T142="","",IF(T142="NO APTO","No cumple uno o más filtros",IF(T142="ALERTA FUERTE","Probabilidad, EV, muestra y score superan filtros","Cumple filtros con confianza media")))</f>
        <v/>
      </c>
    </row>
    <row r="143">
      <c r="A143" s="2">
        <f>IF(C143="","",ROW()-1)</f>
        <v/>
      </c>
      <c r="B143" s="2" t="n"/>
      <c r="C143" s="2" t="n"/>
      <c r="D143" s="2" t="n"/>
      <c r="E143" s="2" t="n"/>
      <c r="F143" s="6" t="n"/>
      <c r="G143" s="2" t="n"/>
      <c r="H143" s="7" t="n"/>
      <c r="I143" s="7" t="n"/>
      <c r="J143" s="7" t="n"/>
      <c r="K143" s="7" t="n"/>
      <c r="L143" s="7" t="n"/>
      <c r="M143" s="7" t="n"/>
      <c r="N143" s="7" t="n"/>
      <c r="O143" s="7">
        <f>IF(C143="","",MAX(0.05,MIN(0.95,0.20*H143+0.15*I143+0.15*J143+0.25*K143+0.10*L143+0.05*M143+0.10*N143)))</f>
        <v/>
      </c>
      <c r="P143" s="7">
        <f>IFERROR(1/F143,"")</f>
        <v/>
      </c>
      <c r="Q143" s="7">
        <f>IF(OR(O143="",P143=""),"",O143-P143)</f>
        <v/>
      </c>
      <c r="R143" s="7">
        <f>IF(OR(O143="",F143=""),"",O143*F143-1)</f>
        <v/>
      </c>
      <c r="S143" s="2">
        <f>IF(C143="","",ROUND(100*(0.20*H143+0.15*I143+0.15*J143+0.25*K143+0.10*L143+0.05*M143+0.10*N143),0))</f>
        <v/>
      </c>
      <c r="T143" s="2">
        <f>IF(C143="","",IF(OR(F143&lt;PARAMETROS!$B$12,F143&gt;PARAMETROS!$B$13,G143&lt;PARAMETROS!$B$11),"NO APTO",IF(O143&lt;IF(F143&lt;1.6,CONFIG!$B$4,IF(F143&lt;1.7,CONFIG!$B$5,IF(F143&lt;1.8,CONFIG!$B$6,IF(F143&lt;2,CONFIG!$B$7,IF(F143&lt;2.2,CONFIG!$B$8,CONFIG!$B$9))))),"NO APTO",IF(R143&lt;PARAMETROS!$B$14,"NO APTO",IF(S143&gt;=PARAMETROS!$B$10,"ALERTA FUERTE",IF(S143&gt;=PARAMETROS!$B$9,"ALERTA MEDIA","NO APTO"))))))</f>
        <v/>
      </c>
      <c r="U143" s="2">
        <f>IF(T143="","",IF(T143="NO APTO","No cumple uno o más filtros",IF(T143="ALERTA FUERTE","Probabilidad, EV, muestra y score superan filtros","Cumple filtros con confianza media")))</f>
        <v/>
      </c>
    </row>
    <row r="144">
      <c r="A144" s="2">
        <f>IF(C144="","",ROW()-1)</f>
        <v/>
      </c>
      <c r="B144" s="2" t="n"/>
      <c r="C144" s="2" t="n"/>
      <c r="D144" s="2" t="n"/>
      <c r="E144" s="2" t="n"/>
      <c r="F144" s="6" t="n"/>
      <c r="G144" s="2" t="n"/>
      <c r="H144" s="7" t="n"/>
      <c r="I144" s="7" t="n"/>
      <c r="J144" s="7" t="n"/>
      <c r="K144" s="7" t="n"/>
      <c r="L144" s="7" t="n"/>
      <c r="M144" s="7" t="n"/>
      <c r="N144" s="7" t="n"/>
      <c r="O144" s="7">
        <f>IF(C144="","",MAX(0.05,MIN(0.95,0.20*H144+0.15*I144+0.15*J144+0.25*K144+0.10*L144+0.05*M144+0.10*N144)))</f>
        <v/>
      </c>
      <c r="P144" s="7">
        <f>IFERROR(1/F144,"")</f>
        <v/>
      </c>
      <c r="Q144" s="7">
        <f>IF(OR(O144="",P144=""),"",O144-P144)</f>
        <v/>
      </c>
      <c r="R144" s="7">
        <f>IF(OR(O144="",F144=""),"",O144*F144-1)</f>
        <v/>
      </c>
      <c r="S144" s="2">
        <f>IF(C144="","",ROUND(100*(0.20*H144+0.15*I144+0.15*J144+0.25*K144+0.10*L144+0.05*M144+0.10*N144),0))</f>
        <v/>
      </c>
      <c r="T144" s="2">
        <f>IF(C144="","",IF(OR(F144&lt;PARAMETROS!$B$12,F144&gt;PARAMETROS!$B$13,G144&lt;PARAMETROS!$B$11),"NO APTO",IF(O144&lt;IF(F144&lt;1.6,CONFIG!$B$4,IF(F144&lt;1.7,CONFIG!$B$5,IF(F144&lt;1.8,CONFIG!$B$6,IF(F144&lt;2,CONFIG!$B$7,IF(F144&lt;2.2,CONFIG!$B$8,CONFIG!$B$9))))),"NO APTO",IF(R144&lt;PARAMETROS!$B$14,"NO APTO",IF(S144&gt;=PARAMETROS!$B$10,"ALERTA FUERTE",IF(S144&gt;=PARAMETROS!$B$9,"ALERTA MEDIA","NO APTO"))))))</f>
        <v/>
      </c>
      <c r="U144" s="2">
        <f>IF(T144="","",IF(T144="NO APTO","No cumple uno o más filtros",IF(T144="ALERTA FUERTE","Probabilidad, EV, muestra y score superan filtros","Cumple filtros con confianza media")))</f>
        <v/>
      </c>
    </row>
    <row r="145">
      <c r="A145" s="2">
        <f>IF(C145="","",ROW()-1)</f>
        <v/>
      </c>
      <c r="B145" s="2" t="n"/>
      <c r="C145" s="2" t="n"/>
      <c r="D145" s="2" t="n"/>
      <c r="E145" s="2" t="n"/>
      <c r="F145" s="6" t="n"/>
      <c r="G145" s="2" t="n"/>
      <c r="H145" s="7" t="n"/>
      <c r="I145" s="7" t="n"/>
      <c r="J145" s="7" t="n"/>
      <c r="K145" s="7" t="n"/>
      <c r="L145" s="7" t="n"/>
      <c r="M145" s="7" t="n"/>
      <c r="N145" s="7" t="n"/>
      <c r="O145" s="7">
        <f>IF(C145="","",MAX(0.05,MIN(0.95,0.20*H145+0.15*I145+0.15*J145+0.25*K145+0.10*L145+0.05*M145+0.10*N145)))</f>
        <v/>
      </c>
      <c r="P145" s="7">
        <f>IFERROR(1/F145,"")</f>
        <v/>
      </c>
      <c r="Q145" s="7">
        <f>IF(OR(O145="",P145=""),"",O145-P145)</f>
        <v/>
      </c>
      <c r="R145" s="7">
        <f>IF(OR(O145="",F145=""),"",O145*F145-1)</f>
        <v/>
      </c>
      <c r="S145" s="2">
        <f>IF(C145="","",ROUND(100*(0.20*H145+0.15*I145+0.15*J145+0.25*K145+0.10*L145+0.05*M145+0.10*N145),0))</f>
        <v/>
      </c>
      <c r="T145" s="2">
        <f>IF(C145="","",IF(OR(F145&lt;PARAMETROS!$B$12,F145&gt;PARAMETROS!$B$13,G145&lt;PARAMETROS!$B$11),"NO APTO",IF(O145&lt;IF(F145&lt;1.6,CONFIG!$B$4,IF(F145&lt;1.7,CONFIG!$B$5,IF(F145&lt;1.8,CONFIG!$B$6,IF(F145&lt;2,CONFIG!$B$7,IF(F145&lt;2.2,CONFIG!$B$8,CONFIG!$B$9))))),"NO APTO",IF(R145&lt;PARAMETROS!$B$14,"NO APTO",IF(S145&gt;=PARAMETROS!$B$10,"ALERTA FUERTE",IF(S145&gt;=PARAMETROS!$B$9,"ALERTA MEDIA","NO APTO"))))))</f>
        <v/>
      </c>
      <c r="U145" s="2">
        <f>IF(T145="","",IF(T145="NO APTO","No cumple uno o más filtros",IF(T145="ALERTA FUERTE","Probabilidad, EV, muestra y score superan filtros","Cumple filtros con confianza media")))</f>
        <v/>
      </c>
    </row>
    <row r="146">
      <c r="A146" s="2">
        <f>IF(C146="","",ROW()-1)</f>
        <v/>
      </c>
      <c r="B146" s="2" t="n"/>
      <c r="C146" s="2" t="n"/>
      <c r="D146" s="2" t="n"/>
      <c r="E146" s="2" t="n"/>
      <c r="F146" s="6" t="n"/>
      <c r="G146" s="2" t="n"/>
      <c r="H146" s="7" t="n"/>
      <c r="I146" s="7" t="n"/>
      <c r="J146" s="7" t="n"/>
      <c r="K146" s="7" t="n"/>
      <c r="L146" s="7" t="n"/>
      <c r="M146" s="7" t="n"/>
      <c r="N146" s="7" t="n"/>
      <c r="O146" s="7">
        <f>IF(C146="","",MAX(0.05,MIN(0.95,0.20*H146+0.15*I146+0.15*J146+0.25*K146+0.10*L146+0.05*M146+0.10*N146)))</f>
        <v/>
      </c>
      <c r="P146" s="7">
        <f>IFERROR(1/F146,"")</f>
        <v/>
      </c>
      <c r="Q146" s="7">
        <f>IF(OR(O146="",P146=""),"",O146-P146)</f>
        <v/>
      </c>
      <c r="R146" s="7">
        <f>IF(OR(O146="",F146=""),"",O146*F146-1)</f>
        <v/>
      </c>
      <c r="S146" s="2">
        <f>IF(C146="","",ROUND(100*(0.20*H146+0.15*I146+0.15*J146+0.25*K146+0.10*L146+0.05*M146+0.10*N146),0))</f>
        <v/>
      </c>
      <c r="T146" s="2">
        <f>IF(C146="","",IF(OR(F146&lt;PARAMETROS!$B$12,F146&gt;PARAMETROS!$B$13,G146&lt;PARAMETROS!$B$11),"NO APTO",IF(O146&lt;IF(F146&lt;1.6,CONFIG!$B$4,IF(F146&lt;1.7,CONFIG!$B$5,IF(F146&lt;1.8,CONFIG!$B$6,IF(F146&lt;2,CONFIG!$B$7,IF(F146&lt;2.2,CONFIG!$B$8,CONFIG!$B$9))))),"NO APTO",IF(R146&lt;PARAMETROS!$B$14,"NO APTO",IF(S146&gt;=PARAMETROS!$B$10,"ALERTA FUERTE",IF(S146&gt;=PARAMETROS!$B$9,"ALERTA MEDIA","NO APTO"))))))</f>
        <v/>
      </c>
      <c r="U146" s="2">
        <f>IF(T146="","",IF(T146="NO APTO","No cumple uno o más filtros",IF(T146="ALERTA FUERTE","Probabilidad, EV, muestra y score superan filtros","Cumple filtros con confianza media")))</f>
        <v/>
      </c>
    </row>
    <row r="147">
      <c r="A147" s="2">
        <f>IF(C147="","",ROW()-1)</f>
        <v/>
      </c>
      <c r="B147" s="2" t="n"/>
      <c r="C147" s="2" t="n"/>
      <c r="D147" s="2" t="n"/>
      <c r="E147" s="2" t="n"/>
      <c r="F147" s="6" t="n"/>
      <c r="G147" s="2" t="n"/>
      <c r="H147" s="7" t="n"/>
      <c r="I147" s="7" t="n"/>
      <c r="J147" s="7" t="n"/>
      <c r="K147" s="7" t="n"/>
      <c r="L147" s="7" t="n"/>
      <c r="M147" s="7" t="n"/>
      <c r="N147" s="7" t="n"/>
      <c r="O147" s="7">
        <f>IF(C147="","",MAX(0.05,MIN(0.95,0.20*H147+0.15*I147+0.15*J147+0.25*K147+0.10*L147+0.05*M147+0.10*N147)))</f>
        <v/>
      </c>
      <c r="P147" s="7">
        <f>IFERROR(1/F147,"")</f>
        <v/>
      </c>
      <c r="Q147" s="7">
        <f>IF(OR(O147="",P147=""),"",O147-P147)</f>
        <v/>
      </c>
      <c r="R147" s="7">
        <f>IF(OR(O147="",F147=""),"",O147*F147-1)</f>
        <v/>
      </c>
      <c r="S147" s="2">
        <f>IF(C147="","",ROUND(100*(0.20*H147+0.15*I147+0.15*J147+0.25*K147+0.10*L147+0.05*M147+0.10*N147),0))</f>
        <v/>
      </c>
      <c r="T147" s="2">
        <f>IF(C147="","",IF(OR(F147&lt;PARAMETROS!$B$12,F147&gt;PARAMETROS!$B$13,G147&lt;PARAMETROS!$B$11),"NO APTO",IF(O147&lt;IF(F147&lt;1.6,CONFIG!$B$4,IF(F147&lt;1.7,CONFIG!$B$5,IF(F147&lt;1.8,CONFIG!$B$6,IF(F147&lt;2,CONFIG!$B$7,IF(F147&lt;2.2,CONFIG!$B$8,CONFIG!$B$9))))),"NO APTO",IF(R147&lt;PARAMETROS!$B$14,"NO APTO",IF(S147&gt;=PARAMETROS!$B$10,"ALERTA FUERTE",IF(S147&gt;=PARAMETROS!$B$9,"ALERTA MEDIA","NO APTO"))))))</f>
        <v/>
      </c>
      <c r="U147" s="2">
        <f>IF(T147="","",IF(T147="NO APTO","No cumple uno o más filtros",IF(T147="ALERTA FUERTE","Probabilidad, EV, muestra y score superan filtros","Cumple filtros con confianza media")))</f>
        <v/>
      </c>
    </row>
    <row r="148">
      <c r="A148" s="2">
        <f>IF(C148="","",ROW()-1)</f>
        <v/>
      </c>
      <c r="B148" s="2" t="n"/>
      <c r="C148" s="2" t="n"/>
      <c r="D148" s="2" t="n"/>
      <c r="E148" s="2" t="n"/>
      <c r="F148" s="6" t="n"/>
      <c r="G148" s="2" t="n"/>
      <c r="H148" s="7" t="n"/>
      <c r="I148" s="7" t="n"/>
      <c r="J148" s="7" t="n"/>
      <c r="K148" s="7" t="n"/>
      <c r="L148" s="7" t="n"/>
      <c r="M148" s="7" t="n"/>
      <c r="N148" s="7" t="n"/>
      <c r="O148" s="7">
        <f>IF(C148="","",MAX(0.05,MIN(0.95,0.20*H148+0.15*I148+0.15*J148+0.25*K148+0.10*L148+0.05*M148+0.10*N148)))</f>
        <v/>
      </c>
      <c r="P148" s="7">
        <f>IFERROR(1/F148,"")</f>
        <v/>
      </c>
      <c r="Q148" s="7">
        <f>IF(OR(O148="",P148=""),"",O148-P148)</f>
        <v/>
      </c>
      <c r="R148" s="7">
        <f>IF(OR(O148="",F148=""),"",O148*F148-1)</f>
        <v/>
      </c>
      <c r="S148" s="2">
        <f>IF(C148="","",ROUND(100*(0.20*H148+0.15*I148+0.15*J148+0.25*K148+0.10*L148+0.05*M148+0.10*N148),0))</f>
        <v/>
      </c>
      <c r="T148" s="2">
        <f>IF(C148="","",IF(OR(F148&lt;PARAMETROS!$B$12,F148&gt;PARAMETROS!$B$13,G148&lt;PARAMETROS!$B$11),"NO APTO",IF(O148&lt;IF(F148&lt;1.6,CONFIG!$B$4,IF(F148&lt;1.7,CONFIG!$B$5,IF(F148&lt;1.8,CONFIG!$B$6,IF(F148&lt;2,CONFIG!$B$7,IF(F148&lt;2.2,CONFIG!$B$8,CONFIG!$B$9))))),"NO APTO",IF(R148&lt;PARAMETROS!$B$14,"NO APTO",IF(S148&gt;=PARAMETROS!$B$10,"ALERTA FUERTE",IF(S148&gt;=PARAMETROS!$B$9,"ALERTA MEDIA","NO APTO"))))))</f>
        <v/>
      </c>
      <c r="U148" s="2">
        <f>IF(T148="","",IF(T148="NO APTO","No cumple uno o más filtros",IF(T148="ALERTA FUERTE","Probabilidad, EV, muestra y score superan filtros","Cumple filtros con confianza media")))</f>
        <v/>
      </c>
    </row>
    <row r="149">
      <c r="A149" s="2">
        <f>IF(C149="","",ROW()-1)</f>
        <v/>
      </c>
      <c r="B149" s="2" t="n"/>
      <c r="C149" s="2" t="n"/>
      <c r="D149" s="2" t="n"/>
      <c r="E149" s="2" t="n"/>
      <c r="F149" s="6" t="n"/>
      <c r="G149" s="2" t="n"/>
      <c r="H149" s="7" t="n"/>
      <c r="I149" s="7" t="n"/>
      <c r="J149" s="7" t="n"/>
      <c r="K149" s="7" t="n"/>
      <c r="L149" s="7" t="n"/>
      <c r="M149" s="7" t="n"/>
      <c r="N149" s="7" t="n"/>
      <c r="O149" s="7">
        <f>IF(C149="","",MAX(0.05,MIN(0.95,0.20*H149+0.15*I149+0.15*J149+0.25*K149+0.10*L149+0.05*M149+0.10*N149)))</f>
        <v/>
      </c>
      <c r="P149" s="7">
        <f>IFERROR(1/F149,"")</f>
        <v/>
      </c>
      <c r="Q149" s="7">
        <f>IF(OR(O149="",P149=""),"",O149-P149)</f>
        <v/>
      </c>
      <c r="R149" s="7">
        <f>IF(OR(O149="",F149=""),"",O149*F149-1)</f>
        <v/>
      </c>
      <c r="S149" s="2">
        <f>IF(C149="","",ROUND(100*(0.20*H149+0.15*I149+0.15*J149+0.25*K149+0.10*L149+0.05*M149+0.10*N149),0))</f>
        <v/>
      </c>
      <c r="T149" s="2">
        <f>IF(C149="","",IF(OR(F149&lt;PARAMETROS!$B$12,F149&gt;PARAMETROS!$B$13,G149&lt;PARAMETROS!$B$11),"NO APTO",IF(O149&lt;IF(F149&lt;1.6,CONFIG!$B$4,IF(F149&lt;1.7,CONFIG!$B$5,IF(F149&lt;1.8,CONFIG!$B$6,IF(F149&lt;2,CONFIG!$B$7,IF(F149&lt;2.2,CONFIG!$B$8,CONFIG!$B$9))))),"NO APTO",IF(R149&lt;PARAMETROS!$B$14,"NO APTO",IF(S149&gt;=PARAMETROS!$B$10,"ALERTA FUERTE",IF(S149&gt;=PARAMETROS!$B$9,"ALERTA MEDIA","NO APTO"))))))</f>
        <v/>
      </c>
      <c r="U149" s="2">
        <f>IF(T149="","",IF(T149="NO APTO","No cumple uno o más filtros",IF(T149="ALERTA FUERTE","Probabilidad, EV, muestra y score superan filtros","Cumple filtros con confianza media")))</f>
        <v/>
      </c>
    </row>
    <row r="150">
      <c r="A150" s="2">
        <f>IF(C150="","",ROW()-1)</f>
        <v/>
      </c>
      <c r="B150" s="2" t="n"/>
      <c r="C150" s="2" t="n"/>
      <c r="D150" s="2" t="n"/>
      <c r="E150" s="2" t="n"/>
      <c r="F150" s="6" t="n"/>
      <c r="G150" s="2" t="n"/>
      <c r="H150" s="7" t="n"/>
      <c r="I150" s="7" t="n"/>
      <c r="J150" s="7" t="n"/>
      <c r="K150" s="7" t="n"/>
      <c r="L150" s="7" t="n"/>
      <c r="M150" s="7" t="n"/>
      <c r="N150" s="7" t="n"/>
      <c r="O150" s="7">
        <f>IF(C150="","",MAX(0.05,MIN(0.95,0.20*H150+0.15*I150+0.15*J150+0.25*K150+0.10*L150+0.05*M150+0.10*N150)))</f>
        <v/>
      </c>
      <c r="P150" s="7">
        <f>IFERROR(1/F150,"")</f>
        <v/>
      </c>
      <c r="Q150" s="7">
        <f>IF(OR(O150="",P150=""),"",O150-P150)</f>
        <v/>
      </c>
      <c r="R150" s="7">
        <f>IF(OR(O150="",F150=""),"",O150*F150-1)</f>
        <v/>
      </c>
      <c r="S150" s="2">
        <f>IF(C150="","",ROUND(100*(0.20*H150+0.15*I150+0.15*J150+0.25*K150+0.10*L150+0.05*M150+0.10*N150),0))</f>
        <v/>
      </c>
      <c r="T150" s="2">
        <f>IF(C150="","",IF(OR(F150&lt;PARAMETROS!$B$12,F150&gt;PARAMETROS!$B$13,G150&lt;PARAMETROS!$B$11),"NO APTO",IF(O150&lt;IF(F150&lt;1.6,CONFIG!$B$4,IF(F150&lt;1.7,CONFIG!$B$5,IF(F150&lt;1.8,CONFIG!$B$6,IF(F150&lt;2,CONFIG!$B$7,IF(F150&lt;2.2,CONFIG!$B$8,CONFIG!$B$9))))),"NO APTO",IF(R150&lt;PARAMETROS!$B$14,"NO APTO",IF(S150&gt;=PARAMETROS!$B$10,"ALERTA FUERTE",IF(S150&gt;=PARAMETROS!$B$9,"ALERTA MEDIA","NO APTO"))))))</f>
        <v/>
      </c>
      <c r="U150" s="2">
        <f>IF(T150="","",IF(T150="NO APTO","No cumple uno o más filtros",IF(T150="ALERTA FUERTE","Probabilidad, EV, muestra y score superan filtros","Cumple filtros con confianza media")))</f>
        <v/>
      </c>
    </row>
    <row r="151">
      <c r="A151" s="2">
        <f>IF(C151="","",ROW()-1)</f>
        <v/>
      </c>
      <c r="B151" s="2" t="n"/>
      <c r="C151" s="2" t="n"/>
      <c r="D151" s="2" t="n"/>
      <c r="E151" s="2" t="n"/>
      <c r="F151" s="6" t="n"/>
      <c r="G151" s="2" t="n"/>
      <c r="H151" s="7" t="n"/>
      <c r="I151" s="7" t="n"/>
      <c r="J151" s="7" t="n"/>
      <c r="K151" s="7" t="n"/>
      <c r="L151" s="7" t="n"/>
      <c r="M151" s="7" t="n"/>
      <c r="N151" s="7" t="n"/>
      <c r="O151" s="7">
        <f>IF(C151="","",MAX(0.05,MIN(0.95,0.20*H151+0.15*I151+0.15*J151+0.25*K151+0.10*L151+0.05*M151+0.10*N151)))</f>
        <v/>
      </c>
      <c r="P151" s="7">
        <f>IFERROR(1/F151,"")</f>
        <v/>
      </c>
      <c r="Q151" s="7">
        <f>IF(OR(O151="",P151=""),"",O151-P151)</f>
        <v/>
      </c>
      <c r="R151" s="7">
        <f>IF(OR(O151="",F151=""),"",O151*F151-1)</f>
        <v/>
      </c>
      <c r="S151" s="2">
        <f>IF(C151="","",ROUND(100*(0.20*H151+0.15*I151+0.15*J151+0.25*K151+0.10*L151+0.05*M151+0.10*N151),0))</f>
        <v/>
      </c>
      <c r="T151" s="2">
        <f>IF(C151="","",IF(OR(F151&lt;PARAMETROS!$B$12,F151&gt;PARAMETROS!$B$13,G151&lt;PARAMETROS!$B$11),"NO APTO",IF(O151&lt;IF(F151&lt;1.6,CONFIG!$B$4,IF(F151&lt;1.7,CONFIG!$B$5,IF(F151&lt;1.8,CONFIG!$B$6,IF(F151&lt;2,CONFIG!$B$7,IF(F151&lt;2.2,CONFIG!$B$8,CONFIG!$B$9))))),"NO APTO",IF(R151&lt;PARAMETROS!$B$14,"NO APTO",IF(S151&gt;=PARAMETROS!$B$10,"ALERTA FUERTE",IF(S151&gt;=PARAMETROS!$B$9,"ALERTA MEDIA","NO APTO"))))))</f>
        <v/>
      </c>
      <c r="U151" s="2">
        <f>IF(T151="","",IF(T151="NO APTO","No cumple uno o más filtros",IF(T151="ALERTA FUERTE","Probabilidad, EV, muestra y score superan filtros","Cumple filtros con confianza media")))</f>
        <v/>
      </c>
    </row>
    <row r="152">
      <c r="A152" s="2">
        <f>IF(C152="","",ROW()-1)</f>
        <v/>
      </c>
      <c r="B152" s="2" t="n"/>
      <c r="C152" s="2" t="n"/>
      <c r="D152" s="2" t="n"/>
      <c r="E152" s="2" t="n"/>
      <c r="F152" s="6" t="n"/>
      <c r="G152" s="2" t="n"/>
      <c r="H152" s="7" t="n"/>
      <c r="I152" s="7" t="n"/>
      <c r="J152" s="7" t="n"/>
      <c r="K152" s="7" t="n"/>
      <c r="L152" s="7" t="n"/>
      <c r="M152" s="7" t="n"/>
      <c r="N152" s="7" t="n"/>
      <c r="O152" s="7">
        <f>IF(C152="","",MAX(0.05,MIN(0.95,0.20*H152+0.15*I152+0.15*J152+0.25*K152+0.10*L152+0.05*M152+0.10*N152)))</f>
        <v/>
      </c>
      <c r="P152" s="7">
        <f>IFERROR(1/F152,"")</f>
        <v/>
      </c>
      <c r="Q152" s="7">
        <f>IF(OR(O152="",P152=""),"",O152-P152)</f>
        <v/>
      </c>
      <c r="R152" s="7">
        <f>IF(OR(O152="",F152=""),"",O152*F152-1)</f>
        <v/>
      </c>
      <c r="S152" s="2">
        <f>IF(C152="","",ROUND(100*(0.20*H152+0.15*I152+0.15*J152+0.25*K152+0.10*L152+0.05*M152+0.10*N152),0))</f>
        <v/>
      </c>
      <c r="T152" s="2">
        <f>IF(C152="","",IF(OR(F152&lt;PARAMETROS!$B$12,F152&gt;PARAMETROS!$B$13,G152&lt;PARAMETROS!$B$11),"NO APTO",IF(O152&lt;IF(F152&lt;1.6,CONFIG!$B$4,IF(F152&lt;1.7,CONFIG!$B$5,IF(F152&lt;1.8,CONFIG!$B$6,IF(F152&lt;2,CONFIG!$B$7,IF(F152&lt;2.2,CONFIG!$B$8,CONFIG!$B$9))))),"NO APTO",IF(R152&lt;PARAMETROS!$B$14,"NO APTO",IF(S152&gt;=PARAMETROS!$B$10,"ALERTA FUERTE",IF(S152&gt;=PARAMETROS!$B$9,"ALERTA MEDIA","NO APTO"))))))</f>
        <v/>
      </c>
      <c r="U152" s="2">
        <f>IF(T152="","",IF(T152="NO APTO","No cumple uno o más filtros",IF(T152="ALERTA FUERTE","Probabilidad, EV, muestra y score superan filtros","Cumple filtros con confianza media")))</f>
        <v/>
      </c>
    </row>
    <row r="153">
      <c r="A153" s="2">
        <f>IF(C153="","",ROW()-1)</f>
        <v/>
      </c>
      <c r="B153" s="2" t="n"/>
      <c r="C153" s="2" t="n"/>
      <c r="D153" s="2" t="n"/>
      <c r="E153" s="2" t="n"/>
      <c r="F153" s="6" t="n"/>
      <c r="G153" s="2" t="n"/>
      <c r="H153" s="7" t="n"/>
      <c r="I153" s="7" t="n"/>
      <c r="J153" s="7" t="n"/>
      <c r="K153" s="7" t="n"/>
      <c r="L153" s="7" t="n"/>
      <c r="M153" s="7" t="n"/>
      <c r="N153" s="7" t="n"/>
      <c r="O153" s="7">
        <f>IF(C153="","",MAX(0.05,MIN(0.95,0.20*H153+0.15*I153+0.15*J153+0.25*K153+0.10*L153+0.05*M153+0.10*N153)))</f>
        <v/>
      </c>
      <c r="P153" s="7">
        <f>IFERROR(1/F153,"")</f>
        <v/>
      </c>
      <c r="Q153" s="7">
        <f>IF(OR(O153="",P153=""),"",O153-P153)</f>
        <v/>
      </c>
      <c r="R153" s="7">
        <f>IF(OR(O153="",F153=""),"",O153*F153-1)</f>
        <v/>
      </c>
      <c r="S153" s="2">
        <f>IF(C153="","",ROUND(100*(0.20*H153+0.15*I153+0.15*J153+0.25*K153+0.10*L153+0.05*M153+0.10*N153),0))</f>
        <v/>
      </c>
      <c r="T153" s="2">
        <f>IF(C153="","",IF(OR(F153&lt;PARAMETROS!$B$12,F153&gt;PARAMETROS!$B$13,G153&lt;PARAMETROS!$B$11),"NO APTO",IF(O153&lt;IF(F153&lt;1.6,CONFIG!$B$4,IF(F153&lt;1.7,CONFIG!$B$5,IF(F153&lt;1.8,CONFIG!$B$6,IF(F153&lt;2,CONFIG!$B$7,IF(F153&lt;2.2,CONFIG!$B$8,CONFIG!$B$9))))),"NO APTO",IF(R153&lt;PARAMETROS!$B$14,"NO APTO",IF(S153&gt;=PARAMETROS!$B$10,"ALERTA FUERTE",IF(S153&gt;=PARAMETROS!$B$9,"ALERTA MEDIA","NO APTO"))))))</f>
        <v/>
      </c>
      <c r="U153" s="2">
        <f>IF(T153="","",IF(T153="NO APTO","No cumple uno o más filtros",IF(T153="ALERTA FUERTE","Probabilidad, EV, muestra y score superan filtros","Cumple filtros con confianza media")))</f>
        <v/>
      </c>
    </row>
    <row r="154">
      <c r="A154" s="2">
        <f>IF(C154="","",ROW()-1)</f>
        <v/>
      </c>
      <c r="B154" s="2" t="n"/>
      <c r="C154" s="2" t="n"/>
      <c r="D154" s="2" t="n"/>
      <c r="E154" s="2" t="n"/>
      <c r="F154" s="6" t="n"/>
      <c r="G154" s="2" t="n"/>
      <c r="H154" s="7" t="n"/>
      <c r="I154" s="7" t="n"/>
      <c r="J154" s="7" t="n"/>
      <c r="K154" s="7" t="n"/>
      <c r="L154" s="7" t="n"/>
      <c r="M154" s="7" t="n"/>
      <c r="N154" s="7" t="n"/>
      <c r="O154" s="7">
        <f>IF(C154="","",MAX(0.05,MIN(0.95,0.20*H154+0.15*I154+0.15*J154+0.25*K154+0.10*L154+0.05*M154+0.10*N154)))</f>
        <v/>
      </c>
      <c r="P154" s="7">
        <f>IFERROR(1/F154,"")</f>
        <v/>
      </c>
      <c r="Q154" s="7">
        <f>IF(OR(O154="",P154=""),"",O154-P154)</f>
        <v/>
      </c>
      <c r="R154" s="7">
        <f>IF(OR(O154="",F154=""),"",O154*F154-1)</f>
        <v/>
      </c>
      <c r="S154" s="2">
        <f>IF(C154="","",ROUND(100*(0.20*H154+0.15*I154+0.15*J154+0.25*K154+0.10*L154+0.05*M154+0.10*N154),0))</f>
        <v/>
      </c>
      <c r="T154" s="2">
        <f>IF(C154="","",IF(OR(F154&lt;PARAMETROS!$B$12,F154&gt;PARAMETROS!$B$13,G154&lt;PARAMETROS!$B$11),"NO APTO",IF(O154&lt;IF(F154&lt;1.6,CONFIG!$B$4,IF(F154&lt;1.7,CONFIG!$B$5,IF(F154&lt;1.8,CONFIG!$B$6,IF(F154&lt;2,CONFIG!$B$7,IF(F154&lt;2.2,CONFIG!$B$8,CONFIG!$B$9))))),"NO APTO",IF(R154&lt;PARAMETROS!$B$14,"NO APTO",IF(S154&gt;=PARAMETROS!$B$10,"ALERTA FUERTE",IF(S154&gt;=PARAMETROS!$B$9,"ALERTA MEDIA","NO APTO"))))))</f>
        <v/>
      </c>
      <c r="U154" s="2">
        <f>IF(T154="","",IF(T154="NO APTO","No cumple uno o más filtros",IF(T154="ALERTA FUERTE","Probabilidad, EV, muestra y score superan filtros","Cumple filtros con confianza media")))</f>
        <v/>
      </c>
    </row>
    <row r="155">
      <c r="A155" s="2">
        <f>IF(C155="","",ROW()-1)</f>
        <v/>
      </c>
      <c r="B155" s="2" t="n"/>
      <c r="C155" s="2" t="n"/>
      <c r="D155" s="2" t="n"/>
      <c r="E155" s="2" t="n"/>
      <c r="F155" s="6" t="n"/>
      <c r="G155" s="2" t="n"/>
      <c r="H155" s="7" t="n"/>
      <c r="I155" s="7" t="n"/>
      <c r="J155" s="7" t="n"/>
      <c r="K155" s="7" t="n"/>
      <c r="L155" s="7" t="n"/>
      <c r="M155" s="7" t="n"/>
      <c r="N155" s="7" t="n"/>
      <c r="O155" s="7">
        <f>IF(C155="","",MAX(0.05,MIN(0.95,0.20*H155+0.15*I155+0.15*J155+0.25*K155+0.10*L155+0.05*M155+0.10*N155)))</f>
        <v/>
      </c>
      <c r="P155" s="7">
        <f>IFERROR(1/F155,"")</f>
        <v/>
      </c>
      <c r="Q155" s="7">
        <f>IF(OR(O155="",P155=""),"",O155-P155)</f>
        <v/>
      </c>
      <c r="R155" s="7">
        <f>IF(OR(O155="",F155=""),"",O155*F155-1)</f>
        <v/>
      </c>
      <c r="S155" s="2">
        <f>IF(C155="","",ROUND(100*(0.20*H155+0.15*I155+0.15*J155+0.25*K155+0.10*L155+0.05*M155+0.10*N155),0))</f>
        <v/>
      </c>
      <c r="T155" s="2">
        <f>IF(C155="","",IF(OR(F155&lt;PARAMETROS!$B$12,F155&gt;PARAMETROS!$B$13,G155&lt;PARAMETROS!$B$11),"NO APTO",IF(O155&lt;IF(F155&lt;1.6,CONFIG!$B$4,IF(F155&lt;1.7,CONFIG!$B$5,IF(F155&lt;1.8,CONFIG!$B$6,IF(F155&lt;2,CONFIG!$B$7,IF(F155&lt;2.2,CONFIG!$B$8,CONFIG!$B$9))))),"NO APTO",IF(R155&lt;PARAMETROS!$B$14,"NO APTO",IF(S155&gt;=PARAMETROS!$B$10,"ALERTA FUERTE",IF(S155&gt;=PARAMETROS!$B$9,"ALERTA MEDIA","NO APTO"))))))</f>
        <v/>
      </c>
      <c r="U155" s="2">
        <f>IF(T155="","",IF(T155="NO APTO","No cumple uno o más filtros",IF(T155="ALERTA FUERTE","Probabilidad, EV, muestra y score superan filtros","Cumple filtros con confianza media")))</f>
        <v/>
      </c>
    </row>
    <row r="156">
      <c r="A156" s="2">
        <f>IF(C156="","",ROW()-1)</f>
        <v/>
      </c>
      <c r="B156" s="2" t="n"/>
      <c r="C156" s="2" t="n"/>
      <c r="D156" s="2" t="n"/>
      <c r="E156" s="2" t="n"/>
      <c r="F156" s="6" t="n"/>
      <c r="G156" s="2" t="n"/>
      <c r="H156" s="7" t="n"/>
      <c r="I156" s="7" t="n"/>
      <c r="J156" s="7" t="n"/>
      <c r="K156" s="7" t="n"/>
      <c r="L156" s="7" t="n"/>
      <c r="M156" s="7" t="n"/>
      <c r="N156" s="7" t="n"/>
      <c r="O156" s="7">
        <f>IF(C156="","",MAX(0.05,MIN(0.95,0.20*H156+0.15*I156+0.15*J156+0.25*K156+0.10*L156+0.05*M156+0.10*N156)))</f>
        <v/>
      </c>
      <c r="P156" s="7">
        <f>IFERROR(1/F156,"")</f>
        <v/>
      </c>
      <c r="Q156" s="7">
        <f>IF(OR(O156="",P156=""),"",O156-P156)</f>
        <v/>
      </c>
      <c r="R156" s="7">
        <f>IF(OR(O156="",F156=""),"",O156*F156-1)</f>
        <v/>
      </c>
      <c r="S156" s="2">
        <f>IF(C156="","",ROUND(100*(0.20*H156+0.15*I156+0.15*J156+0.25*K156+0.10*L156+0.05*M156+0.10*N156),0))</f>
        <v/>
      </c>
      <c r="T156" s="2">
        <f>IF(C156="","",IF(OR(F156&lt;PARAMETROS!$B$12,F156&gt;PARAMETROS!$B$13,G156&lt;PARAMETROS!$B$11),"NO APTO",IF(O156&lt;IF(F156&lt;1.6,CONFIG!$B$4,IF(F156&lt;1.7,CONFIG!$B$5,IF(F156&lt;1.8,CONFIG!$B$6,IF(F156&lt;2,CONFIG!$B$7,IF(F156&lt;2.2,CONFIG!$B$8,CONFIG!$B$9))))),"NO APTO",IF(R156&lt;PARAMETROS!$B$14,"NO APTO",IF(S156&gt;=PARAMETROS!$B$10,"ALERTA FUERTE",IF(S156&gt;=PARAMETROS!$B$9,"ALERTA MEDIA","NO APTO"))))))</f>
        <v/>
      </c>
      <c r="U156" s="2">
        <f>IF(T156="","",IF(T156="NO APTO","No cumple uno o más filtros",IF(T156="ALERTA FUERTE","Probabilidad, EV, muestra y score superan filtros","Cumple filtros con confianza media")))</f>
        <v/>
      </c>
    </row>
    <row r="157">
      <c r="A157" s="2">
        <f>IF(C157="","",ROW()-1)</f>
        <v/>
      </c>
      <c r="B157" s="2" t="n"/>
      <c r="C157" s="2" t="n"/>
      <c r="D157" s="2" t="n"/>
      <c r="E157" s="2" t="n"/>
      <c r="F157" s="6" t="n"/>
      <c r="G157" s="2" t="n"/>
      <c r="H157" s="7" t="n"/>
      <c r="I157" s="7" t="n"/>
      <c r="J157" s="7" t="n"/>
      <c r="K157" s="7" t="n"/>
      <c r="L157" s="7" t="n"/>
      <c r="M157" s="7" t="n"/>
      <c r="N157" s="7" t="n"/>
      <c r="O157" s="7">
        <f>IF(C157="","",MAX(0.05,MIN(0.95,0.20*H157+0.15*I157+0.15*J157+0.25*K157+0.10*L157+0.05*M157+0.10*N157)))</f>
        <v/>
      </c>
      <c r="P157" s="7">
        <f>IFERROR(1/F157,"")</f>
        <v/>
      </c>
      <c r="Q157" s="7">
        <f>IF(OR(O157="",P157=""),"",O157-P157)</f>
        <v/>
      </c>
      <c r="R157" s="7">
        <f>IF(OR(O157="",F157=""),"",O157*F157-1)</f>
        <v/>
      </c>
      <c r="S157" s="2">
        <f>IF(C157="","",ROUND(100*(0.20*H157+0.15*I157+0.15*J157+0.25*K157+0.10*L157+0.05*M157+0.10*N157),0))</f>
        <v/>
      </c>
      <c r="T157" s="2">
        <f>IF(C157="","",IF(OR(F157&lt;PARAMETROS!$B$12,F157&gt;PARAMETROS!$B$13,G157&lt;PARAMETROS!$B$11),"NO APTO",IF(O157&lt;IF(F157&lt;1.6,CONFIG!$B$4,IF(F157&lt;1.7,CONFIG!$B$5,IF(F157&lt;1.8,CONFIG!$B$6,IF(F157&lt;2,CONFIG!$B$7,IF(F157&lt;2.2,CONFIG!$B$8,CONFIG!$B$9))))),"NO APTO",IF(R157&lt;PARAMETROS!$B$14,"NO APTO",IF(S157&gt;=PARAMETROS!$B$10,"ALERTA FUERTE",IF(S157&gt;=PARAMETROS!$B$9,"ALERTA MEDIA","NO APTO"))))))</f>
        <v/>
      </c>
      <c r="U157" s="2">
        <f>IF(T157="","",IF(T157="NO APTO","No cumple uno o más filtros",IF(T157="ALERTA FUERTE","Probabilidad, EV, muestra y score superan filtros","Cumple filtros con confianza media")))</f>
        <v/>
      </c>
    </row>
    <row r="158">
      <c r="A158" s="2">
        <f>IF(C158="","",ROW()-1)</f>
        <v/>
      </c>
      <c r="B158" s="2" t="n"/>
      <c r="C158" s="2" t="n"/>
      <c r="D158" s="2" t="n"/>
      <c r="E158" s="2" t="n"/>
      <c r="F158" s="6" t="n"/>
      <c r="G158" s="2" t="n"/>
      <c r="H158" s="7" t="n"/>
      <c r="I158" s="7" t="n"/>
      <c r="J158" s="7" t="n"/>
      <c r="K158" s="7" t="n"/>
      <c r="L158" s="7" t="n"/>
      <c r="M158" s="7" t="n"/>
      <c r="N158" s="7" t="n"/>
      <c r="O158" s="7">
        <f>IF(C158="","",MAX(0.05,MIN(0.95,0.20*H158+0.15*I158+0.15*J158+0.25*K158+0.10*L158+0.05*M158+0.10*N158)))</f>
        <v/>
      </c>
      <c r="P158" s="7">
        <f>IFERROR(1/F158,"")</f>
        <v/>
      </c>
      <c r="Q158" s="7">
        <f>IF(OR(O158="",P158=""),"",O158-P158)</f>
        <v/>
      </c>
      <c r="R158" s="7">
        <f>IF(OR(O158="",F158=""),"",O158*F158-1)</f>
        <v/>
      </c>
      <c r="S158" s="2">
        <f>IF(C158="","",ROUND(100*(0.20*H158+0.15*I158+0.15*J158+0.25*K158+0.10*L158+0.05*M158+0.10*N158),0))</f>
        <v/>
      </c>
      <c r="T158" s="2">
        <f>IF(C158="","",IF(OR(F158&lt;PARAMETROS!$B$12,F158&gt;PARAMETROS!$B$13,G158&lt;PARAMETROS!$B$11),"NO APTO",IF(O158&lt;IF(F158&lt;1.6,CONFIG!$B$4,IF(F158&lt;1.7,CONFIG!$B$5,IF(F158&lt;1.8,CONFIG!$B$6,IF(F158&lt;2,CONFIG!$B$7,IF(F158&lt;2.2,CONFIG!$B$8,CONFIG!$B$9))))),"NO APTO",IF(R158&lt;PARAMETROS!$B$14,"NO APTO",IF(S158&gt;=PARAMETROS!$B$10,"ALERTA FUERTE",IF(S158&gt;=PARAMETROS!$B$9,"ALERTA MEDIA","NO APTO"))))))</f>
        <v/>
      </c>
      <c r="U158" s="2">
        <f>IF(T158="","",IF(T158="NO APTO","No cumple uno o más filtros",IF(T158="ALERTA FUERTE","Probabilidad, EV, muestra y score superan filtros","Cumple filtros con confianza media")))</f>
        <v/>
      </c>
    </row>
    <row r="159">
      <c r="A159" s="2">
        <f>IF(C159="","",ROW()-1)</f>
        <v/>
      </c>
      <c r="B159" s="2" t="n"/>
      <c r="C159" s="2" t="n"/>
      <c r="D159" s="2" t="n"/>
      <c r="E159" s="2" t="n"/>
      <c r="F159" s="6" t="n"/>
      <c r="G159" s="2" t="n"/>
      <c r="H159" s="7" t="n"/>
      <c r="I159" s="7" t="n"/>
      <c r="J159" s="7" t="n"/>
      <c r="K159" s="7" t="n"/>
      <c r="L159" s="7" t="n"/>
      <c r="M159" s="7" t="n"/>
      <c r="N159" s="7" t="n"/>
      <c r="O159" s="7">
        <f>IF(C159="","",MAX(0.05,MIN(0.95,0.20*H159+0.15*I159+0.15*J159+0.25*K159+0.10*L159+0.05*M159+0.10*N159)))</f>
        <v/>
      </c>
      <c r="P159" s="7">
        <f>IFERROR(1/F159,"")</f>
        <v/>
      </c>
      <c r="Q159" s="7">
        <f>IF(OR(O159="",P159=""),"",O159-P159)</f>
        <v/>
      </c>
      <c r="R159" s="7">
        <f>IF(OR(O159="",F159=""),"",O159*F159-1)</f>
        <v/>
      </c>
      <c r="S159" s="2">
        <f>IF(C159="","",ROUND(100*(0.20*H159+0.15*I159+0.15*J159+0.25*K159+0.10*L159+0.05*M159+0.10*N159),0))</f>
        <v/>
      </c>
      <c r="T159" s="2">
        <f>IF(C159="","",IF(OR(F159&lt;PARAMETROS!$B$12,F159&gt;PARAMETROS!$B$13,G159&lt;PARAMETROS!$B$11),"NO APTO",IF(O159&lt;IF(F159&lt;1.6,CONFIG!$B$4,IF(F159&lt;1.7,CONFIG!$B$5,IF(F159&lt;1.8,CONFIG!$B$6,IF(F159&lt;2,CONFIG!$B$7,IF(F159&lt;2.2,CONFIG!$B$8,CONFIG!$B$9))))),"NO APTO",IF(R159&lt;PARAMETROS!$B$14,"NO APTO",IF(S159&gt;=PARAMETROS!$B$10,"ALERTA FUERTE",IF(S159&gt;=PARAMETROS!$B$9,"ALERTA MEDIA","NO APTO"))))))</f>
        <v/>
      </c>
      <c r="U159" s="2">
        <f>IF(T159="","",IF(T159="NO APTO","No cumple uno o más filtros",IF(T159="ALERTA FUERTE","Probabilidad, EV, muestra y score superan filtros","Cumple filtros con confianza media")))</f>
        <v/>
      </c>
    </row>
    <row r="160">
      <c r="A160" s="2">
        <f>IF(C160="","",ROW()-1)</f>
        <v/>
      </c>
      <c r="B160" s="2" t="n"/>
      <c r="C160" s="2" t="n"/>
      <c r="D160" s="2" t="n"/>
      <c r="E160" s="2" t="n"/>
      <c r="F160" s="6" t="n"/>
      <c r="G160" s="2" t="n"/>
      <c r="H160" s="7" t="n"/>
      <c r="I160" s="7" t="n"/>
      <c r="J160" s="7" t="n"/>
      <c r="K160" s="7" t="n"/>
      <c r="L160" s="7" t="n"/>
      <c r="M160" s="7" t="n"/>
      <c r="N160" s="7" t="n"/>
      <c r="O160" s="7">
        <f>IF(C160="","",MAX(0.05,MIN(0.95,0.20*H160+0.15*I160+0.15*J160+0.25*K160+0.10*L160+0.05*M160+0.10*N160)))</f>
        <v/>
      </c>
      <c r="P160" s="7">
        <f>IFERROR(1/F160,"")</f>
        <v/>
      </c>
      <c r="Q160" s="7">
        <f>IF(OR(O160="",P160=""),"",O160-P160)</f>
        <v/>
      </c>
      <c r="R160" s="7">
        <f>IF(OR(O160="",F160=""),"",O160*F160-1)</f>
        <v/>
      </c>
      <c r="S160" s="2">
        <f>IF(C160="","",ROUND(100*(0.20*H160+0.15*I160+0.15*J160+0.25*K160+0.10*L160+0.05*M160+0.10*N160),0))</f>
        <v/>
      </c>
      <c r="T160" s="2">
        <f>IF(C160="","",IF(OR(F160&lt;PARAMETROS!$B$12,F160&gt;PARAMETROS!$B$13,G160&lt;PARAMETROS!$B$11),"NO APTO",IF(O160&lt;IF(F160&lt;1.6,CONFIG!$B$4,IF(F160&lt;1.7,CONFIG!$B$5,IF(F160&lt;1.8,CONFIG!$B$6,IF(F160&lt;2,CONFIG!$B$7,IF(F160&lt;2.2,CONFIG!$B$8,CONFIG!$B$9))))),"NO APTO",IF(R160&lt;PARAMETROS!$B$14,"NO APTO",IF(S160&gt;=PARAMETROS!$B$10,"ALERTA FUERTE",IF(S160&gt;=PARAMETROS!$B$9,"ALERTA MEDIA","NO APTO"))))))</f>
        <v/>
      </c>
      <c r="U160" s="2">
        <f>IF(T160="","",IF(T160="NO APTO","No cumple uno o más filtros",IF(T160="ALERTA FUERTE","Probabilidad, EV, muestra y score superan filtros","Cumple filtros con confianza media")))</f>
        <v/>
      </c>
    </row>
    <row r="161">
      <c r="A161" s="2">
        <f>IF(C161="","",ROW()-1)</f>
        <v/>
      </c>
      <c r="B161" s="2" t="n"/>
      <c r="C161" s="2" t="n"/>
      <c r="D161" s="2" t="n"/>
      <c r="E161" s="2" t="n"/>
      <c r="F161" s="6" t="n"/>
      <c r="G161" s="2" t="n"/>
      <c r="H161" s="7" t="n"/>
      <c r="I161" s="7" t="n"/>
      <c r="J161" s="7" t="n"/>
      <c r="K161" s="7" t="n"/>
      <c r="L161" s="7" t="n"/>
      <c r="M161" s="7" t="n"/>
      <c r="N161" s="7" t="n"/>
      <c r="O161" s="7">
        <f>IF(C161="","",MAX(0.05,MIN(0.95,0.20*H161+0.15*I161+0.15*J161+0.25*K161+0.10*L161+0.05*M161+0.10*N161)))</f>
        <v/>
      </c>
      <c r="P161" s="7">
        <f>IFERROR(1/F161,"")</f>
        <v/>
      </c>
      <c r="Q161" s="7">
        <f>IF(OR(O161="",P161=""),"",O161-P161)</f>
        <v/>
      </c>
      <c r="R161" s="7">
        <f>IF(OR(O161="",F161=""),"",O161*F161-1)</f>
        <v/>
      </c>
      <c r="S161" s="2">
        <f>IF(C161="","",ROUND(100*(0.20*H161+0.15*I161+0.15*J161+0.25*K161+0.10*L161+0.05*M161+0.10*N161),0))</f>
        <v/>
      </c>
      <c r="T161" s="2">
        <f>IF(C161="","",IF(OR(F161&lt;PARAMETROS!$B$12,F161&gt;PARAMETROS!$B$13,G161&lt;PARAMETROS!$B$11),"NO APTO",IF(O161&lt;IF(F161&lt;1.6,CONFIG!$B$4,IF(F161&lt;1.7,CONFIG!$B$5,IF(F161&lt;1.8,CONFIG!$B$6,IF(F161&lt;2,CONFIG!$B$7,IF(F161&lt;2.2,CONFIG!$B$8,CONFIG!$B$9))))),"NO APTO",IF(R161&lt;PARAMETROS!$B$14,"NO APTO",IF(S161&gt;=PARAMETROS!$B$10,"ALERTA FUERTE",IF(S161&gt;=PARAMETROS!$B$9,"ALERTA MEDIA","NO APTO"))))))</f>
        <v/>
      </c>
      <c r="U161" s="2">
        <f>IF(T161="","",IF(T161="NO APTO","No cumple uno o más filtros",IF(T161="ALERTA FUERTE","Probabilidad, EV, muestra y score superan filtros","Cumple filtros con confianza media")))</f>
        <v/>
      </c>
    </row>
    <row r="162">
      <c r="A162" s="2">
        <f>IF(C162="","",ROW()-1)</f>
        <v/>
      </c>
      <c r="B162" s="2" t="n"/>
      <c r="C162" s="2" t="n"/>
      <c r="D162" s="2" t="n"/>
      <c r="E162" s="2" t="n"/>
      <c r="F162" s="6" t="n"/>
      <c r="G162" s="2" t="n"/>
      <c r="H162" s="7" t="n"/>
      <c r="I162" s="7" t="n"/>
      <c r="J162" s="7" t="n"/>
      <c r="K162" s="7" t="n"/>
      <c r="L162" s="7" t="n"/>
      <c r="M162" s="7" t="n"/>
      <c r="N162" s="7" t="n"/>
      <c r="O162" s="7">
        <f>IF(C162="","",MAX(0.05,MIN(0.95,0.20*H162+0.15*I162+0.15*J162+0.25*K162+0.10*L162+0.05*M162+0.10*N162)))</f>
        <v/>
      </c>
      <c r="P162" s="7">
        <f>IFERROR(1/F162,"")</f>
        <v/>
      </c>
      <c r="Q162" s="7">
        <f>IF(OR(O162="",P162=""),"",O162-P162)</f>
        <v/>
      </c>
      <c r="R162" s="7">
        <f>IF(OR(O162="",F162=""),"",O162*F162-1)</f>
        <v/>
      </c>
      <c r="S162" s="2">
        <f>IF(C162="","",ROUND(100*(0.20*H162+0.15*I162+0.15*J162+0.25*K162+0.10*L162+0.05*M162+0.10*N162),0))</f>
        <v/>
      </c>
      <c r="T162" s="2">
        <f>IF(C162="","",IF(OR(F162&lt;PARAMETROS!$B$12,F162&gt;PARAMETROS!$B$13,G162&lt;PARAMETROS!$B$11),"NO APTO",IF(O162&lt;IF(F162&lt;1.6,CONFIG!$B$4,IF(F162&lt;1.7,CONFIG!$B$5,IF(F162&lt;1.8,CONFIG!$B$6,IF(F162&lt;2,CONFIG!$B$7,IF(F162&lt;2.2,CONFIG!$B$8,CONFIG!$B$9))))),"NO APTO",IF(R162&lt;PARAMETROS!$B$14,"NO APTO",IF(S162&gt;=PARAMETROS!$B$10,"ALERTA FUERTE",IF(S162&gt;=PARAMETROS!$B$9,"ALERTA MEDIA","NO APTO"))))))</f>
        <v/>
      </c>
      <c r="U162" s="2">
        <f>IF(T162="","",IF(T162="NO APTO","No cumple uno o más filtros",IF(T162="ALERTA FUERTE","Probabilidad, EV, muestra y score superan filtros","Cumple filtros con confianza media")))</f>
        <v/>
      </c>
    </row>
    <row r="163">
      <c r="A163" s="2">
        <f>IF(C163="","",ROW()-1)</f>
        <v/>
      </c>
      <c r="B163" s="2" t="n"/>
      <c r="C163" s="2" t="n"/>
      <c r="D163" s="2" t="n"/>
      <c r="E163" s="2" t="n"/>
      <c r="F163" s="6" t="n"/>
      <c r="G163" s="2" t="n"/>
      <c r="H163" s="7" t="n"/>
      <c r="I163" s="7" t="n"/>
      <c r="J163" s="7" t="n"/>
      <c r="K163" s="7" t="n"/>
      <c r="L163" s="7" t="n"/>
      <c r="M163" s="7" t="n"/>
      <c r="N163" s="7" t="n"/>
      <c r="O163" s="7">
        <f>IF(C163="","",MAX(0.05,MIN(0.95,0.20*H163+0.15*I163+0.15*J163+0.25*K163+0.10*L163+0.05*M163+0.10*N163)))</f>
        <v/>
      </c>
      <c r="P163" s="7">
        <f>IFERROR(1/F163,"")</f>
        <v/>
      </c>
      <c r="Q163" s="7">
        <f>IF(OR(O163="",P163=""),"",O163-P163)</f>
        <v/>
      </c>
      <c r="R163" s="7">
        <f>IF(OR(O163="",F163=""),"",O163*F163-1)</f>
        <v/>
      </c>
      <c r="S163" s="2">
        <f>IF(C163="","",ROUND(100*(0.20*H163+0.15*I163+0.15*J163+0.25*K163+0.10*L163+0.05*M163+0.10*N163),0))</f>
        <v/>
      </c>
      <c r="T163" s="2">
        <f>IF(C163="","",IF(OR(F163&lt;PARAMETROS!$B$12,F163&gt;PARAMETROS!$B$13,G163&lt;PARAMETROS!$B$11),"NO APTO",IF(O163&lt;IF(F163&lt;1.6,CONFIG!$B$4,IF(F163&lt;1.7,CONFIG!$B$5,IF(F163&lt;1.8,CONFIG!$B$6,IF(F163&lt;2,CONFIG!$B$7,IF(F163&lt;2.2,CONFIG!$B$8,CONFIG!$B$9))))),"NO APTO",IF(R163&lt;PARAMETROS!$B$14,"NO APTO",IF(S163&gt;=PARAMETROS!$B$10,"ALERTA FUERTE",IF(S163&gt;=PARAMETROS!$B$9,"ALERTA MEDIA","NO APTO"))))))</f>
        <v/>
      </c>
      <c r="U163" s="2">
        <f>IF(T163="","",IF(T163="NO APTO","No cumple uno o más filtros",IF(T163="ALERTA FUERTE","Probabilidad, EV, muestra y score superan filtros","Cumple filtros con confianza media")))</f>
        <v/>
      </c>
    </row>
    <row r="164">
      <c r="A164" s="2">
        <f>IF(C164="","",ROW()-1)</f>
        <v/>
      </c>
      <c r="B164" s="2" t="n"/>
      <c r="C164" s="2" t="n"/>
      <c r="D164" s="2" t="n"/>
      <c r="E164" s="2" t="n"/>
      <c r="F164" s="6" t="n"/>
      <c r="G164" s="2" t="n"/>
      <c r="H164" s="7" t="n"/>
      <c r="I164" s="7" t="n"/>
      <c r="J164" s="7" t="n"/>
      <c r="K164" s="7" t="n"/>
      <c r="L164" s="7" t="n"/>
      <c r="M164" s="7" t="n"/>
      <c r="N164" s="7" t="n"/>
      <c r="O164" s="7">
        <f>IF(C164="","",MAX(0.05,MIN(0.95,0.20*H164+0.15*I164+0.15*J164+0.25*K164+0.10*L164+0.05*M164+0.10*N164)))</f>
        <v/>
      </c>
      <c r="P164" s="7">
        <f>IFERROR(1/F164,"")</f>
        <v/>
      </c>
      <c r="Q164" s="7">
        <f>IF(OR(O164="",P164=""),"",O164-P164)</f>
        <v/>
      </c>
      <c r="R164" s="7">
        <f>IF(OR(O164="",F164=""),"",O164*F164-1)</f>
        <v/>
      </c>
      <c r="S164" s="2">
        <f>IF(C164="","",ROUND(100*(0.20*H164+0.15*I164+0.15*J164+0.25*K164+0.10*L164+0.05*M164+0.10*N164),0))</f>
        <v/>
      </c>
      <c r="T164" s="2">
        <f>IF(C164="","",IF(OR(F164&lt;PARAMETROS!$B$12,F164&gt;PARAMETROS!$B$13,G164&lt;PARAMETROS!$B$11),"NO APTO",IF(O164&lt;IF(F164&lt;1.6,CONFIG!$B$4,IF(F164&lt;1.7,CONFIG!$B$5,IF(F164&lt;1.8,CONFIG!$B$6,IF(F164&lt;2,CONFIG!$B$7,IF(F164&lt;2.2,CONFIG!$B$8,CONFIG!$B$9))))),"NO APTO",IF(R164&lt;PARAMETROS!$B$14,"NO APTO",IF(S164&gt;=PARAMETROS!$B$10,"ALERTA FUERTE",IF(S164&gt;=PARAMETROS!$B$9,"ALERTA MEDIA","NO APTO"))))))</f>
        <v/>
      </c>
      <c r="U164" s="2">
        <f>IF(T164="","",IF(T164="NO APTO","No cumple uno o más filtros",IF(T164="ALERTA FUERTE","Probabilidad, EV, muestra y score superan filtros","Cumple filtros con confianza media")))</f>
        <v/>
      </c>
    </row>
    <row r="165">
      <c r="A165" s="2">
        <f>IF(C165="","",ROW()-1)</f>
        <v/>
      </c>
      <c r="B165" s="2" t="n"/>
      <c r="C165" s="2" t="n"/>
      <c r="D165" s="2" t="n"/>
      <c r="E165" s="2" t="n"/>
      <c r="F165" s="6" t="n"/>
      <c r="G165" s="2" t="n"/>
      <c r="H165" s="7" t="n"/>
      <c r="I165" s="7" t="n"/>
      <c r="J165" s="7" t="n"/>
      <c r="K165" s="7" t="n"/>
      <c r="L165" s="7" t="n"/>
      <c r="M165" s="7" t="n"/>
      <c r="N165" s="7" t="n"/>
      <c r="O165" s="7">
        <f>IF(C165="","",MAX(0.05,MIN(0.95,0.20*H165+0.15*I165+0.15*J165+0.25*K165+0.10*L165+0.05*M165+0.10*N165)))</f>
        <v/>
      </c>
      <c r="P165" s="7">
        <f>IFERROR(1/F165,"")</f>
        <v/>
      </c>
      <c r="Q165" s="7">
        <f>IF(OR(O165="",P165=""),"",O165-P165)</f>
        <v/>
      </c>
      <c r="R165" s="7">
        <f>IF(OR(O165="",F165=""),"",O165*F165-1)</f>
        <v/>
      </c>
      <c r="S165" s="2">
        <f>IF(C165="","",ROUND(100*(0.20*H165+0.15*I165+0.15*J165+0.25*K165+0.10*L165+0.05*M165+0.10*N165),0))</f>
        <v/>
      </c>
      <c r="T165" s="2">
        <f>IF(C165="","",IF(OR(F165&lt;PARAMETROS!$B$12,F165&gt;PARAMETROS!$B$13,G165&lt;PARAMETROS!$B$11),"NO APTO",IF(O165&lt;IF(F165&lt;1.6,CONFIG!$B$4,IF(F165&lt;1.7,CONFIG!$B$5,IF(F165&lt;1.8,CONFIG!$B$6,IF(F165&lt;2,CONFIG!$B$7,IF(F165&lt;2.2,CONFIG!$B$8,CONFIG!$B$9))))),"NO APTO",IF(R165&lt;PARAMETROS!$B$14,"NO APTO",IF(S165&gt;=PARAMETROS!$B$10,"ALERTA FUERTE",IF(S165&gt;=PARAMETROS!$B$9,"ALERTA MEDIA","NO APTO"))))))</f>
        <v/>
      </c>
      <c r="U165" s="2">
        <f>IF(T165="","",IF(T165="NO APTO","No cumple uno o más filtros",IF(T165="ALERTA FUERTE","Probabilidad, EV, muestra y score superan filtros","Cumple filtros con confianza media")))</f>
        <v/>
      </c>
    </row>
    <row r="166">
      <c r="A166" s="2">
        <f>IF(C166="","",ROW()-1)</f>
        <v/>
      </c>
      <c r="B166" s="2" t="n"/>
      <c r="C166" s="2" t="n"/>
      <c r="D166" s="2" t="n"/>
      <c r="E166" s="2" t="n"/>
      <c r="F166" s="6" t="n"/>
      <c r="G166" s="2" t="n"/>
      <c r="H166" s="7" t="n"/>
      <c r="I166" s="7" t="n"/>
      <c r="J166" s="7" t="n"/>
      <c r="K166" s="7" t="n"/>
      <c r="L166" s="7" t="n"/>
      <c r="M166" s="7" t="n"/>
      <c r="N166" s="7" t="n"/>
      <c r="O166" s="7">
        <f>IF(C166="","",MAX(0.05,MIN(0.95,0.20*H166+0.15*I166+0.15*J166+0.25*K166+0.10*L166+0.05*M166+0.10*N166)))</f>
        <v/>
      </c>
      <c r="P166" s="7">
        <f>IFERROR(1/F166,"")</f>
        <v/>
      </c>
      <c r="Q166" s="7">
        <f>IF(OR(O166="",P166=""),"",O166-P166)</f>
        <v/>
      </c>
      <c r="R166" s="7">
        <f>IF(OR(O166="",F166=""),"",O166*F166-1)</f>
        <v/>
      </c>
      <c r="S166" s="2">
        <f>IF(C166="","",ROUND(100*(0.20*H166+0.15*I166+0.15*J166+0.25*K166+0.10*L166+0.05*M166+0.10*N166),0))</f>
        <v/>
      </c>
      <c r="T166" s="2">
        <f>IF(C166="","",IF(OR(F166&lt;PARAMETROS!$B$12,F166&gt;PARAMETROS!$B$13,G166&lt;PARAMETROS!$B$11),"NO APTO",IF(O166&lt;IF(F166&lt;1.6,CONFIG!$B$4,IF(F166&lt;1.7,CONFIG!$B$5,IF(F166&lt;1.8,CONFIG!$B$6,IF(F166&lt;2,CONFIG!$B$7,IF(F166&lt;2.2,CONFIG!$B$8,CONFIG!$B$9))))),"NO APTO",IF(R166&lt;PARAMETROS!$B$14,"NO APTO",IF(S166&gt;=PARAMETROS!$B$10,"ALERTA FUERTE",IF(S166&gt;=PARAMETROS!$B$9,"ALERTA MEDIA","NO APTO"))))))</f>
        <v/>
      </c>
      <c r="U166" s="2">
        <f>IF(T166="","",IF(T166="NO APTO","No cumple uno o más filtros",IF(T166="ALERTA FUERTE","Probabilidad, EV, muestra y score superan filtros","Cumple filtros con confianza media")))</f>
        <v/>
      </c>
    </row>
    <row r="167">
      <c r="A167" s="2">
        <f>IF(C167="","",ROW()-1)</f>
        <v/>
      </c>
      <c r="B167" s="2" t="n"/>
      <c r="C167" s="2" t="n"/>
      <c r="D167" s="2" t="n"/>
      <c r="E167" s="2" t="n"/>
      <c r="F167" s="6" t="n"/>
      <c r="G167" s="2" t="n"/>
      <c r="H167" s="7" t="n"/>
      <c r="I167" s="7" t="n"/>
      <c r="J167" s="7" t="n"/>
      <c r="K167" s="7" t="n"/>
      <c r="L167" s="7" t="n"/>
      <c r="M167" s="7" t="n"/>
      <c r="N167" s="7" t="n"/>
      <c r="O167" s="7">
        <f>IF(C167="","",MAX(0.05,MIN(0.95,0.20*H167+0.15*I167+0.15*J167+0.25*K167+0.10*L167+0.05*M167+0.10*N167)))</f>
        <v/>
      </c>
      <c r="P167" s="7">
        <f>IFERROR(1/F167,"")</f>
        <v/>
      </c>
      <c r="Q167" s="7">
        <f>IF(OR(O167="",P167=""),"",O167-P167)</f>
        <v/>
      </c>
      <c r="R167" s="7">
        <f>IF(OR(O167="",F167=""),"",O167*F167-1)</f>
        <v/>
      </c>
      <c r="S167" s="2">
        <f>IF(C167="","",ROUND(100*(0.20*H167+0.15*I167+0.15*J167+0.25*K167+0.10*L167+0.05*M167+0.10*N167),0))</f>
        <v/>
      </c>
      <c r="T167" s="2">
        <f>IF(C167="","",IF(OR(F167&lt;PARAMETROS!$B$12,F167&gt;PARAMETROS!$B$13,G167&lt;PARAMETROS!$B$11),"NO APTO",IF(O167&lt;IF(F167&lt;1.6,CONFIG!$B$4,IF(F167&lt;1.7,CONFIG!$B$5,IF(F167&lt;1.8,CONFIG!$B$6,IF(F167&lt;2,CONFIG!$B$7,IF(F167&lt;2.2,CONFIG!$B$8,CONFIG!$B$9))))),"NO APTO",IF(R167&lt;PARAMETROS!$B$14,"NO APTO",IF(S167&gt;=PARAMETROS!$B$10,"ALERTA FUERTE",IF(S167&gt;=PARAMETROS!$B$9,"ALERTA MEDIA","NO APTO"))))))</f>
        <v/>
      </c>
      <c r="U167" s="2">
        <f>IF(T167="","",IF(T167="NO APTO","No cumple uno o más filtros",IF(T167="ALERTA FUERTE","Probabilidad, EV, muestra y score superan filtros","Cumple filtros con confianza media")))</f>
        <v/>
      </c>
    </row>
    <row r="168">
      <c r="A168" s="2">
        <f>IF(C168="","",ROW()-1)</f>
        <v/>
      </c>
      <c r="B168" s="2" t="n"/>
      <c r="C168" s="2" t="n"/>
      <c r="D168" s="2" t="n"/>
      <c r="E168" s="2" t="n"/>
      <c r="F168" s="6" t="n"/>
      <c r="G168" s="2" t="n"/>
      <c r="H168" s="7" t="n"/>
      <c r="I168" s="7" t="n"/>
      <c r="J168" s="7" t="n"/>
      <c r="K168" s="7" t="n"/>
      <c r="L168" s="7" t="n"/>
      <c r="M168" s="7" t="n"/>
      <c r="N168" s="7" t="n"/>
      <c r="O168" s="7">
        <f>IF(C168="","",MAX(0.05,MIN(0.95,0.20*H168+0.15*I168+0.15*J168+0.25*K168+0.10*L168+0.05*M168+0.10*N168)))</f>
        <v/>
      </c>
      <c r="P168" s="7">
        <f>IFERROR(1/F168,"")</f>
        <v/>
      </c>
      <c r="Q168" s="7">
        <f>IF(OR(O168="",P168=""),"",O168-P168)</f>
        <v/>
      </c>
      <c r="R168" s="7">
        <f>IF(OR(O168="",F168=""),"",O168*F168-1)</f>
        <v/>
      </c>
      <c r="S168" s="2">
        <f>IF(C168="","",ROUND(100*(0.20*H168+0.15*I168+0.15*J168+0.25*K168+0.10*L168+0.05*M168+0.10*N168),0))</f>
        <v/>
      </c>
      <c r="T168" s="2">
        <f>IF(C168="","",IF(OR(F168&lt;PARAMETROS!$B$12,F168&gt;PARAMETROS!$B$13,G168&lt;PARAMETROS!$B$11),"NO APTO",IF(O168&lt;IF(F168&lt;1.6,CONFIG!$B$4,IF(F168&lt;1.7,CONFIG!$B$5,IF(F168&lt;1.8,CONFIG!$B$6,IF(F168&lt;2,CONFIG!$B$7,IF(F168&lt;2.2,CONFIG!$B$8,CONFIG!$B$9))))),"NO APTO",IF(R168&lt;PARAMETROS!$B$14,"NO APTO",IF(S168&gt;=PARAMETROS!$B$10,"ALERTA FUERTE",IF(S168&gt;=PARAMETROS!$B$9,"ALERTA MEDIA","NO APTO"))))))</f>
        <v/>
      </c>
      <c r="U168" s="2">
        <f>IF(T168="","",IF(T168="NO APTO","No cumple uno o más filtros",IF(T168="ALERTA FUERTE","Probabilidad, EV, muestra y score superan filtros","Cumple filtros con confianza media")))</f>
        <v/>
      </c>
    </row>
    <row r="169">
      <c r="A169" s="2">
        <f>IF(C169="","",ROW()-1)</f>
        <v/>
      </c>
      <c r="B169" s="2" t="n"/>
      <c r="C169" s="2" t="n"/>
      <c r="D169" s="2" t="n"/>
      <c r="E169" s="2" t="n"/>
      <c r="F169" s="6" t="n"/>
      <c r="G169" s="2" t="n"/>
      <c r="H169" s="7" t="n"/>
      <c r="I169" s="7" t="n"/>
      <c r="J169" s="7" t="n"/>
      <c r="K169" s="7" t="n"/>
      <c r="L169" s="7" t="n"/>
      <c r="M169" s="7" t="n"/>
      <c r="N169" s="7" t="n"/>
      <c r="O169" s="7">
        <f>IF(C169="","",MAX(0.05,MIN(0.95,0.20*H169+0.15*I169+0.15*J169+0.25*K169+0.10*L169+0.05*M169+0.10*N169)))</f>
        <v/>
      </c>
      <c r="P169" s="7">
        <f>IFERROR(1/F169,"")</f>
        <v/>
      </c>
      <c r="Q169" s="7">
        <f>IF(OR(O169="",P169=""),"",O169-P169)</f>
        <v/>
      </c>
      <c r="R169" s="7">
        <f>IF(OR(O169="",F169=""),"",O169*F169-1)</f>
        <v/>
      </c>
      <c r="S169" s="2">
        <f>IF(C169="","",ROUND(100*(0.20*H169+0.15*I169+0.15*J169+0.25*K169+0.10*L169+0.05*M169+0.10*N169),0))</f>
        <v/>
      </c>
      <c r="T169" s="2">
        <f>IF(C169="","",IF(OR(F169&lt;PARAMETROS!$B$12,F169&gt;PARAMETROS!$B$13,G169&lt;PARAMETROS!$B$11),"NO APTO",IF(O169&lt;IF(F169&lt;1.6,CONFIG!$B$4,IF(F169&lt;1.7,CONFIG!$B$5,IF(F169&lt;1.8,CONFIG!$B$6,IF(F169&lt;2,CONFIG!$B$7,IF(F169&lt;2.2,CONFIG!$B$8,CONFIG!$B$9))))),"NO APTO",IF(R169&lt;PARAMETROS!$B$14,"NO APTO",IF(S169&gt;=PARAMETROS!$B$10,"ALERTA FUERTE",IF(S169&gt;=PARAMETROS!$B$9,"ALERTA MEDIA","NO APTO"))))))</f>
        <v/>
      </c>
      <c r="U169" s="2">
        <f>IF(T169="","",IF(T169="NO APTO","No cumple uno o más filtros",IF(T169="ALERTA FUERTE","Probabilidad, EV, muestra y score superan filtros","Cumple filtros con confianza media")))</f>
        <v/>
      </c>
    </row>
    <row r="170">
      <c r="A170" s="2">
        <f>IF(C170="","",ROW()-1)</f>
        <v/>
      </c>
      <c r="B170" s="2" t="n"/>
      <c r="C170" s="2" t="n"/>
      <c r="D170" s="2" t="n"/>
      <c r="E170" s="2" t="n"/>
      <c r="F170" s="6" t="n"/>
      <c r="G170" s="2" t="n"/>
      <c r="H170" s="7" t="n"/>
      <c r="I170" s="7" t="n"/>
      <c r="J170" s="7" t="n"/>
      <c r="K170" s="7" t="n"/>
      <c r="L170" s="7" t="n"/>
      <c r="M170" s="7" t="n"/>
      <c r="N170" s="7" t="n"/>
      <c r="O170" s="7">
        <f>IF(C170="","",MAX(0.05,MIN(0.95,0.20*H170+0.15*I170+0.15*J170+0.25*K170+0.10*L170+0.05*M170+0.10*N170)))</f>
        <v/>
      </c>
      <c r="P170" s="7">
        <f>IFERROR(1/F170,"")</f>
        <v/>
      </c>
      <c r="Q170" s="7">
        <f>IF(OR(O170="",P170=""),"",O170-P170)</f>
        <v/>
      </c>
      <c r="R170" s="7">
        <f>IF(OR(O170="",F170=""),"",O170*F170-1)</f>
        <v/>
      </c>
      <c r="S170" s="2">
        <f>IF(C170="","",ROUND(100*(0.20*H170+0.15*I170+0.15*J170+0.25*K170+0.10*L170+0.05*M170+0.10*N170),0))</f>
        <v/>
      </c>
      <c r="T170" s="2">
        <f>IF(C170="","",IF(OR(F170&lt;PARAMETROS!$B$12,F170&gt;PARAMETROS!$B$13,G170&lt;PARAMETROS!$B$11),"NO APTO",IF(O170&lt;IF(F170&lt;1.6,CONFIG!$B$4,IF(F170&lt;1.7,CONFIG!$B$5,IF(F170&lt;1.8,CONFIG!$B$6,IF(F170&lt;2,CONFIG!$B$7,IF(F170&lt;2.2,CONFIG!$B$8,CONFIG!$B$9))))),"NO APTO",IF(R170&lt;PARAMETROS!$B$14,"NO APTO",IF(S170&gt;=PARAMETROS!$B$10,"ALERTA FUERTE",IF(S170&gt;=PARAMETROS!$B$9,"ALERTA MEDIA","NO APTO"))))))</f>
        <v/>
      </c>
      <c r="U170" s="2">
        <f>IF(T170="","",IF(T170="NO APTO","No cumple uno o más filtros",IF(T170="ALERTA FUERTE","Probabilidad, EV, muestra y score superan filtros","Cumple filtros con confianza media")))</f>
        <v/>
      </c>
    </row>
    <row r="171">
      <c r="A171" s="2">
        <f>IF(C171="","",ROW()-1)</f>
        <v/>
      </c>
      <c r="B171" s="2" t="n"/>
      <c r="C171" s="2" t="n"/>
      <c r="D171" s="2" t="n"/>
      <c r="E171" s="2" t="n"/>
      <c r="F171" s="6" t="n"/>
      <c r="G171" s="2" t="n"/>
      <c r="H171" s="7" t="n"/>
      <c r="I171" s="7" t="n"/>
      <c r="J171" s="7" t="n"/>
      <c r="K171" s="7" t="n"/>
      <c r="L171" s="7" t="n"/>
      <c r="M171" s="7" t="n"/>
      <c r="N171" s="7" t="n"/>
      <c r="O171" s="7">
        <f>IF(C171="","",MAX(0.05,MIN(0.95,0.20*H171+0.15*I171+0.15*J171+0.25*K171+0.10*L171+0.05*M171+0.10*N171)))</f>
        <v/>
      </c>
      <c r="P171" s="7">
        <f>IFERROR(1/F171,"")</f>
        <v/>
      </c>
      <c r="Q171" s="7">
        <f>IF(OR(O171="",P171=""),"",O171-P171)</f>
        <v/>
      </c>
      <c r="R171" s="7">
        <f>IF(OR(O171="",F171=""),"",O171*F171-1)</f>
        <v/>
      </c>
      <c r="S171" s="2">
        <f>IF(C171="","",ROUND(100*(0.20*H171+0.15*I171+0.15*J171+0.25*K171+0.10*L171+0.05*M171+0.10*N171),0))</f>
        <v/>
      </c>
      <c r="T171" s="2">
        <f>IF(C171="","",IF(OR(F171&lt;PARAMETROS!$B$12,F171&gt;PARAMETROS!$B$13,G171&lt;PARAMETROS!$B$11),"NO APTO",IF(O171&lt;IF(F171&lt;1.6,CONFIG!$B$4,IF(F171&lt;1.7,CONFIG!$B$5,IF(F171&lt;1.8,CONFIG!$B$6,IF(F171&lt;2,CONFIG!$B$7,IF(F171&lt;2.2,CONFIG!$B$8,CONFIG!$B$9))))),"NO APTO",IF(R171&lt;PARAMETROS!$B$14,"NO APTO",IF(S171&gt;=PARAMETROS!$B$10,"ALERTA FUERTE",IF(S171&gt;=PARAMETROS!$B$9,"ALERTA MEDIA","NO APTO"))))))</f>
        <v/>
      </c>
      <c r="U171" s="2">
        <f>IF(T171="","",IF(T171="NO APTO","No cumple uno o más filtros",IF(T171="ALERTA FUERTE","Probabilidad, EV, muestra y score superan filtros","Cumple filtros con confianza media")))</f>
        <v/>
      </c>
    </row>
    <row r="172">
      <c r="A172" s="2">
        <f>IF(C172="","",ROW()-1)</f>
        <v/>
      </c>
      <c r="B172" s="2" t="n"/>
      <c r="C172" s="2" t="n"/>
      <c r="D172" s="2" t="n"/>
      <c r="E172" s="2" t="n"/>
      <c r="F172" s="6" t="n"/>
      <c r="G172" s="2" t="n"/>
      <c r="H172" s="7" t="n"/>
      <c r="I172" s="7" t="n"/>
      <c r="J172" s="7" t="n"/>
      <c r="K172" s="7" t="n"/>
      <c r="L172" s="7" t="n"/>
      <c r="M172" s="7" t="n"/>
      <c r="N172" s="7" t="n"/>
      <c r="O172" s="7">
        <f>IF(C172="","",MAX(0.05,MIN(0.95,0.20*H172+0.15*I172+0.15*J172+0.25*K172+0.10*L172+0.05*M172+0.10*N172)))</f>
        <v/>
      </c>
      <c r="P172" s="7">
        <f>IFERROR(1/F172,"")</f>
        <v/>
      </c>
      <c r="Q172" s="7">
        <f>IF(OR(O172="",P172=""),"",O172-P172)</f>
        <v/>
      </c>
      <c r="R172" s="7">
        <f>IF(OR(O172="",F172=""),"",O172*F172-1)</f>
        <v/>
      </c>
      <c r="S172" s="2">
        <f>IF(C172="","",ROUND(100*(0.20*H172+0.15*I172+0.15*J172+0.25*K172+0.10*L172+0.05*M172+0.10*N172),0))</f>
        <v/>
      </c>
      <c r="T172" s="2">
        <f>IF(C172="","",IF(OR(F172&lt;PARAMETROS!$B$12,F172&gt;PARAMETROS!$B$13,G172&lt;PARAMETROS!$B$11),"NO APTO",IF(O172&lt;IF(F172&lt;1.6,CONFIG!$B$4,IF(F172&lt;1.7,CONFIG!$B$5,IF(F172&lt;1.8,CONFIG!$B$6,IF(F172&lt;2,CONFIG!$B$7,IF(F172&lt;2.2,CONFIG!$B$8,CONFIG!$B$9))))),"NO APTO",IF(R172&lt;PARAMETROS!$B$14,"NO APTO",IF(S172&gt;=PARAMETROS!$B$10,"ALERTA FUERTE",IF(S172&gt;=PARAMETROS!$B$9,"ALERTA MEDIA","NO APTO"))))))</f>
        <v/>
      </c>
      <c r="U172" s="2">
        <f>IF(T172="","",IF(T172="NO APTO","No cumple uno o más filtros",IF(T172="ALERTA FUERTE","Probabilidad, EV, muestra y score superan filtros","Cumple filtros con confianza media")))</f>
        <v/>
      </c>
    </row>
    <row r="173">
      <c r="A173" s="2">
        <f>IF(C173="","",ROW()-1)</f>
        <v/>
      </c>
      <c r="B173" s="2" t="n"/>
      <c r="C173" s="2" t="n"/>
      <c r="D173" s="2" t="n"/>
      <c r="E173" s="2" t="n"/>
      <c r="F173" s="6" t="n"/>
      <c r="G173" s="2" t="n"/>
      <c r="H173" s="7" t="n"/>
      <c r="I173" s="7" t="n"/>
      <c r="J173" s="7" t="n"/>
      <c r="K173" s="7" t="n"/>
      <c r="L173" s="7" t="n"/>
      <c r="M173" s="7" t="n"/>
      <c r="N173" s="7" t="n"/>
      <c r="O173" s="7">
        <f>IF(C173="","",MAX(0.05,MIN(0.95,0.20*H173+0.15*I173+0.15*J173+0.25*K173+0.10*L173+0.05*M173+0.10*N173)))</f>
        <v/>
      </c>
      <c r="P173" s="7">
        <f>IFERROR(1/F173,"")</f>
        <v/>
      </c>
      <c r="Q173" s="7">
        <f>IF(OR(O173="",P173=""),"",O173-P173)</f>
        <v/>
      </c>
      <c r="R173" s="7">
        <f>IF(OR(O173="",F173=""),"",O173*F173-1)</f>
        <v/>
      </c>
      <c r="S173" s="2">
        <f>IF(C173="","",ROUND(100*(0.20*H173+0.15*I173+0.15*J173+0.25*K173+0.10*L173+0.05*M173+0.10*N173),0))</f>
        <v/>
      </c>
      <c r="T173" s="2">
        <f>IF(C173="","",IF(OR(F173&lt;PARAMETROS!$B$12,F173&gt;PARAMETROS!$B$13,G173&lt;PARAMETROS!$B$11),"NO APTO",IF(O173&lt;IF(F173&lt;1.6,CONFIG!$B$4,IF(F173&lt;1.7,CONFIG!$B$5,IF(F173&lt;1.8,CONFIG!$B$6,IF(F173&lt;2,CONFIG!$B$7,IF(F173&lt;2.2,CONFIG!$B$8,CONFIG!$B$9))))),"NO APTO",IF(R173&lt;PARAMETROS!$B$14,"NO APTO",IF(S173&gt;=PARAMETROS!$B$10,"ALERTA FUERTE",IF(S173&gt;=PARAMETROS!$B$9,"ALERTA MEDIA","NO APTO"))))))</f>
        <v/>
      </c>
      <c r="U173" s="2">
        <f>IF(T173="","",IF(T173="NO APTO","No cumple uno o más filtros",IF(T173="ALERTA FUERTE","Probabilidad, EV, muestra y score superan filtros","Cumple filtros con confianza media")))</f>
        <v/>
      </c>
    </row>
    <row r="174">
      <c r="A174" s="2">
        <f>IF(C174="","",ROW()-1)</f>
        <v/>
      </c>
      <c r="B174" s="2" t="n"/>
      <c r="C174" s="2" t="n"/>
      <c r="D174" s="2" t="n"/>
      <c r="E174" s="2" t="n"/>
      <c r="F174" s="6" t="n"/>
      <c r="G174" s="2" t="n"/>
      <c r="H174" s="7" t="n"/>
      <c r="I174" s="7" t="n"/>
      <c r="J174" s="7" t="n"/>
      <c r="K174" s="7" t="n"/>
      <c r="L174" s="7" t="n"/>
      <c r="M174" s="7" t="n"/>
      <c r="N174" s="7" t="n"/>
      <c r="O174" s="7">
        <f>IF(C174="","",MAX(0.05,MIN(0.95,0.20*H174+0.15*I174+0.15*J174+0.25*K174+0.10*L174+0.05*M174+0.10*N174)))</f>
        <v/>
      </c>
      <c r="P174" s="7">
        <f>IFERROR(1/F174,"")</f>
        <v/>
      </c>
      <c r="Q174" s="7">
        <f>IF(OR(O174="",P174=""),"",O174-P174)</f>
        <v/>
      </c>
      <c r="R174" s="7">
        <f>IF(OR(O174="",F174=""),"",O174*F174-1)</f>
        <v/>
      </c>
      <c r="S174" s="2">
        <f>IF(C174="","",ROUND(100*(0.20*H174+0.15*I174+0.15*J174+0.25*K174+0.10*L174+0.05*M174+0.10*N174),0))</f>
        <v/>
      </c>
      <c r="T174" s="2">
        <f>IF(C174="","",IF(OR(F174&lt;PARAMETROS!$B$12,F174&gt;PARAMETROS!$B$13,G174&lt;PARAMETROS!$B$11),"NO APTO",IF(O174&lt;IF(F174&lt;1.6,CONFIG!$B$4,IF(F174&lt;1.7,CONFIG!$B$5,IF(F174&lt;1.8,CONFIG!$B$6,IF(F174&lt;2,CONFIG!$B$7,IF(F174&lt;2.2,CONFIG!$B$8,CONFIG!$B$9))))),"NO APTO",IF(R174&lt;PARAMETROS!$B$14,"NO APTO",IF(S174&gt;=PARAMETROS!$B$10,"ALERTA FUERTE",IF(S174&gt;=PARAMETROS!$B$9,"ALERTA MEDIA","NO APTO"))))))</f>
        <v/>
      </c>
      <c r="U174" s="2">
        <f>IF(T174="","",IF(T174="NO APTO","No cumple uno o más filtros",IF(T174="ALERTA FUERTE","Probabilidad, EV, muestra y score superan filtros","Cumple filtros con confianza media")))</f>
        <v/>
      </c>
    </row>
    <row r="175">
      <c r="A175" s="2">
        <f>IF(C175="","",ROW()-1)</f>
        <v/>
      </c>
      <c r="B175" s="2" t="n"/>
      <c r="C175" s="2" t="n"/>
      <c r="D175" s="2" t="n"/>
      <c r="E175" s="2" t="n"/>
      <c r="F175" s="6" t="n"/>
      <c r="G175" s="2" t="n"/>
      <c r="H175" s="7" t="n"/>
      <c r="I175" s="7" t="n"/>
      <c r="J175" s="7" t="n"/>
      <c r="K175" s="7" t="n"/>
      <c r="L175" s="7" t="n"/>
      <c r="M175" s="7" t="n"/>
      <c r="N175" s="7" t="n"/>
      <c r="O175" s="7">
        <f>IF(C175="","",MAX(0.05,MIN(0.95,0.20*H175+0.15*I175+0.15*J175+0.25*K175+0.10*L175+0.05*M175+0.10*N175)))</f>
        <v/>
      </c>
      <c r="P175" s="7">
        <f>IFERROR(1/F175,"")</f>
        <v/>
      </c>
      <c r="Q175" s="7">
        <f>IF(OR(O175="",P175=""),"",O175-P175)</f>
        <v/>
      </c>
      <c r="R175" s="7">
        <f>IF(OR(O175="",F175=""),"",O175*F175-1)</f>
        <v/>
      </c>
      <c r="S175" s="2">
        <f>IF(C175="","",ROUND(100*(0.20*H175+0.15*I175+0.15*J175+0.25*K175+0.10*L175+0.05*M175+0.10*N175),0))</f>
        <v/>
      </c>
      <c r="T175" s="2">
        <f>IF(C175="","",IF(OR(F175&lt;PARAMETROS!$B$12,F175&gt;PARAMETROS!$B$13,G175&lt;PARAMETROS!$B$11),"NO APTO",IF(O175&lt;IF(F175&lt;1.6,CONFIG!$B$4,IF(F175&lt;1.7,CONFIG!$B$5,IF(F175&lt;1.8,CONFIG!$B$6,IF(F175&lt;2,CONFIG!$B$7,IF(F175&lt;2.2,CONFIG!$B$8,CONFIG!$B$9))))),"NO APTO",IF(R175&lt;PARAMETROS!$B$14,"NO APTO",IF(S175&gt;=PARAMETROS!$B$10,"ALERTA FUERTE",IF(S175&gt;=PARAMETROS!$B$9,"ALERTA MEDIA","NO APTO"))))))</f>
        <v/>
      </c>
      <c r="U175" s="2">
        <f>IF(T175="","",IF(T175="NO APTO","No cumple uno o más filtros",IF(T175="ALERTA FUERTE","Probabilidad, EV, muestra y score superan filtros","Cumple filtros con confianza media")))</f>
        <v/>
      </c>
    </row>
    <row r="176">
      <c r="A176" s="2">
        <f>IF(C176="","",ROW()-1)</f>
        <v/>
      </c>
      <c r="B176" s="2" t="n"/>
      <c r="C176" s="2" t="n"/>
      <c r="D176" s="2" t="n"/>
      <c r="E176" s="2" t="n"/>
      <c r="F176" s="6" t="n"/>
      <c r="G176" s="2" t="n"/>
      <c r="H176" s="7" t="n"/>
      <c r="I176" s="7" t="n"/>
      <c r="J176" s="7" t="n"/>
      <c r="K176" s="7" t="n"/>
      <c r="L176" s="7" t="n"/>
      <c r="M176" s="7" t="n"/>
      <c r="N176" s="7" t="n"/>
      <c r="O176" s="7">
        <f>IF(C176="","",MAX(0.05,MIN(0.95,0.20*H176+0.15*I176+0.15*J176+0.25*K176+0.10*L176+0.05*M176+0.10*N176)))</f>
        <v/>
      </c>
      <c r="P176" s="7">
        <f>IFERROR(1/F176,"")</f>
        <v/>
      </c>
      <c r="Q176" s="7">
        <f>IF(OR(O176="",P176=""),"",O176-P176)</f>
        <v/>
      </c>
      <c r="R176" s="7">
        <f>IF(OR(O176="",F176=""),"",O176*F176-1)</f>
        <v/>
      </c>
      <c r="S176" s="2">
        <f>IF(C176="","",ROUND(100*(0.20*H176+0.15*I176+0.15*J176+0.25*K176+0.10*L176+0.05*M176+0.10*N176),0))</f>
        <v/>
      </c>
      <c r="T176" s="2">
        <f>IF(C176="","",IF(OR(F176&lt;PARAMETROS!$B$12,F176&gt;PARAMETROS!$B$13,G176&lt;PARAMETROS!$B$11),"NO APTO",IF(O176&lt;IF(F176&lt;1.6,CONFIG!$B$4,IF(F176&lt;1.7,CONFIG!$B$5,IF(F176&lt;1.8,CONFIG!$B$6,IF(F176&lt;2,CONFIG!$B$7,IF(F176&lt;2.2,CONFIG!$B$8,CONFIG!$B$9))))),"NO APTO",IF(R176&lt;PARAMETROS!$B$14,"NO APTO",IF(S176&gt;=PARAMETROS!$B$10,"ALERTA FUERTE",IF(S176&gt;=PARAMETROS!$B$9,"ALERTA MEDIA","NO APTO"))))))</f>
        <v/>
      </c>
      <c r="U176" s="2">
        <f>IF(T176="","",IF(T176="NO APTO","No cumple uno o más filtros",IF(T176="ALERTA FUERTE","Probabilidad, EV, muestra y score superan filtros","Cumple filtros con confianza media")))</f>
        <v/>
      </c>
    </row>
    <row r="177">
      <c r="A177" s="2">
        <f>IF(C177="","",ROW()-1)</f>
        <v/>
      </c>
      <c r="B177" s="2" t="n"/>
      <c r="C177" s="2" t="n"/>
      <c r="D177" s="2" t="n"/>
      <c r="E177" s="2" t="n"/>
      <c r="F177" s="6" t="n"/>
      <c r="G177" s="2" t="n"/>
      <c r="H177" s="7" t="n"/>
      <c r="I177" s="7" t="n"/>
      <c r="J177" s="7" t="n"/>
      <c r="K177" s="7" t="n"/>
      <c r="L177" s="7" t="n"/>
      <c r="M177" s="7" t="n"/>
      <c r="N177" s="7" t="n"/>
      <c r="O177" s="7">
        <f>IF(C177="","",MAX(0.05,MIN(0.95,0.20*H177+0.15*I177+0.15*J177+0.25*K177+0.10*L177+0.05*M177+0.10*N177)))</f>
        <v/>
      </c>
      <c r="P177" s="7">
        <f>IFERROR(1/F177,"")</f>
        <v/>
      </c>
      <c r="Q177" s="7">
        <f>IF(OR(O177="",P177=""),"",O177-P177)</f>
        <v/>
      </c>
      <c r="R177" s="7">
        <f>IF(OR(O177="",F177=""),"",O177*F177-1)</f>
        <v/>
      </c>
      <c r="S177" s="2">
        <f>IF(C177="","",ROUND(100*(0.20*H177+0.15*I177+0.15*J177+0.25*K177+0.10*L177+0.05*M177+0.10*N177),0))</f>
        <v/>
      </c>
      <c r="T177" s="2">
        <f>IF(C177="","",IF(OR(F177&lt;PARAMETROS!$B$12,F177&gt;PARAMETROS!$B$13,G177&lt;PARAMETROS!$B$11),"NO APTO",IF(O177&lt;IF(F177&lt;1.6,CONFIG!$B$4,IF(F177&lt;1.7,CONFIG!$B$5,IF(F177&lt;1.8,CONFIG!$B$6,IF(F177&lt;2,CONFIG!$B$7,IF(F177&lt;2.2,CONFIG!$B$8,CONFIG!$B$9))))),"NO APTO",IF(R177&lt;PARAMETROS!$B$14,"NO APTO",IF(S177&gt;=PARAMETROS!$B$10,"ALERTA FUERTE",IF(S177&gt;=PARAMETROS!$B$9,"ALERTA MEDIA","NO APTO"))))))</f>
        <v/>
      </c>
      <c r="U177" s="2">
        <f>IF(T177="","",IF(T177="NO APTO","No cumple uno o más filtros",IF(T177="ALERTA FUERTE","Probabilidad, EV, muestra y score superan filtros","Cumple filtros con confianza media")))</f>
        <v/>
      </c>
    </row>
    <row r="178">
      <c r="A178" s="2">
        <f>IF(C178="","",ROW()-1)</f>
        <v/>
      </c>
      <c r="B178" s="2" t="n"/>
      <c r="C178" s="2" t="n"/>
      <c r="D178" s="2" t="n"/>
      <c r="E178" s="2" t="n"/>
      <c r="F178" s="6" t="n"/>
      <c r="G178" s="2" t="n"/>
      <c r="H178" s="7" t="n"/>
      <c r="I178" s="7" t="n"/>
      <c r="J178" s="7" t="n"/>
      <c r="K178" s="7" t="n"/>
      <c r="L178" s="7" t="n"/>
      <c r="M178" s="7" t="n"/>
      <c r="N178" s="7" t="n"/>
      <c r="O178" s="7">
        <f>IF(C178="","",MAX(0.05,MIN(0.95,0.20*H178+0.15*I178+0.15*J178+0.25*K178+0.10*L178+0.05*M178+0.10*N178)))</f>
        <v/>
      </c>
      <c r="P178" s="7">
        <f>IFERROR(1/F178,"")</f>
        <v/>
      </c>
      <c r="Q178" s="7">
        <f>IF(OR(O178="",P178=""),"",O178-P178)</f>
        <v/>
      </c>
      <c r="R178" s="7">
        <f>IF(OR(O178="",F178=""),"",O178*F178-1)</f>
        <v/>
      </c>
      <c r="S178" s="2">
        <f>IF(C178="","",ROUND(100*(0.20*H178+0.15*I178+0.15*J178+0.25*K178+0.10*L178+0.05*M178+0.10*N178),0))</f>
        <v/>
      </c>
      <c r="T178" s="2">
        <f>IF(C178="","",IF(OR(F178&lt;PARAMETROS!$B$12,F178&gt;PARAMETROS!$B$13,G178&lt;PARAMETROS!$B$11),"NO APTO",IF(O178&lt;IF(F178&lt;1.6,CONFIG!$B$4,IF(F178&lt;1.7,CONFIG!$B$5,IF(F178&lt;1.8,CONFIG!$B$6,IF(F178&lt;2,CONFIG!$B$7,IF(F178&lt;2.2,CONFIG!$B$8,CONFIG!$B$9))))),"NO APTO",IF(R178&lt;PARAMETROS!$B$14,"NO APTO",IF(S178&gt;=PARAMETROS!$B$10,"ALERTA FUERTE",IF(S178&gt;=PARAMETROS!$B$9,"ALERTA MEDIA","NO APTO"))))))</f>
        <v/>
      </c>
      <c r="U178" s="2">
        <f>IF(T178="","",IF(T178="NO APTO","No cumple uno o más filtros",IF(T178="ALERTA FUERTE","Probabilidad, EV, muestra y score superan filtros","Cumple filtros con confianza media")))</f>
        <v/>
      </c>
    </row>
    <row r="179">
      <c r="A179" s="2">
        <f>IF(C179="","",ROW()-1)</f>
        <v/>
      </c>
      <c r="B179" s="2" t="n"/>
      <c r="C179" s="2" t="n"/>
      <c r="D179" s="2" t="n"/>
      <c r="E179" s="2" t="n"/>
      <c r="F179" s="6" t="n"/>
      <c r="G179" s="2" t="n"/>
      <c r="H179" s="7" t="n"/>
      <c r="I179" s="7" t="n"/>
      <c r="J179" s="7" t="n"/>
      <c r="K179" s="7" t="n"/>
      <c r="L179" s="7" t="n"/>
      <c r="M179" s="7" t="n"/>
      <c r="N179" s="7" t="n"/>
      <c r="O179" s="7">
        <f>IF(C179="","",MAX(0.05,MIN(0.95,0.20*H179+0.15*I179+0.15*J179+0.25*K179+0.10*L179+0.05*M179+0.10*N179)))</f>
        <v/>
      </c>
      <c r="P179" s="7">
        <f>IFERROR(1/F179,"")</f>
        <v/>
      </c>
      <c r="Q179" s="7">
        <f>IF(OR(O179="",P179=""),"",O179-P179)</f>
        <v/>
      </c>
      <c r="R179" s="7">
        <f>IF(OR(O179="",F179=""),"",O179*F179-1)</f>
        <v/>
      </c>
      <c r="S179" s="2">
        <f>IF(C179="","",ROUND(100*(0.20*H179+0.15*I179+0.15*J179+0.25*K179+0.10*L179+0.05*M179+0.10*N179),0))</f>
        <v/>
      </c>
      <c r="T179" s="2">
        <f>IF(C179="","",IF(OR(F179&lt;PARAMETROS!$B$12,F179&gt;PARAMETROS!$B$13,G179&lt;PARAMETROS!$B$11),"NO APTO",IF(O179&lt;IF(F179&lt;1.6,CONFIG!$B$4,IF(F179&lt;1.7,CONFIG!$B$5,IF(F179&lt;1.8,CONFIG!$B$6,IF(F179&lt;2,CONFIG!$B$7,IF(F179&lt;2.2,CONFIG!$B$8,CONFIG!$B$9))))),"NO APTO",IF(R179&lt;PARAMETROS!$B$14,"NO APTO",IF(S179&gt;=PARAMETROS!$B$10,"ALERTA FUERTE",IF(S179&gt;=PARAMETROS!$B$9,"ALERTA MEDIA","NO APTO"))))))</f>
        <v/>
      </c>
      <c r="U179" s="2">
        <f>IF(T179="","",IF(T179="NO APTO","No cumple uno o más filtros",IF(T179="ALERTA FUERTE","Probabilidad, EV, muestra y score superan filtros","Cumple filtros con confianza media")))</f>
        <v/>
      </c>
    </row>
    <row r="180">
      <c r="A180" s="2">
        <f>IF(C180="","",ROW()-1)</f>
        <v/>
      </c>
      <c r="B180" s="2" t="n"/>
      <c r="C180" s="2" t="n"/>
      <c r="D180" s="2" t="n"/>
      <c r="E180" s="2" t="n"/>
      <c r="F180" s="6" t="n"/>
      <c r="G180" s="2" t="n"/>
      <c r="H180" s="7" t="n"/>
      <c r="I180" s="7" t="n"/>
      <c r="J180" s="7" t="n"/>
      <c r="K180" s="7" t="n"/>
      <c r="L180" s="7" t="n"/>
      <c r="M180" s="7" t="n"/>
      <c r="N180" s="7" t="n"/>
      <c r="O180" s="7">
        <f>IF(C180="","",MAX(0.05,MIN(0.95,0.20*H180+0.15*I180+0.15*J180+0.25*K180+0.10*L180+0.05*M180+0.10*N180)))</f>
        <v/>
      </c>
      <c r="P180" s="7">
        <f>IFERROR(1/F180,"")</f>
        <v/>
      </c>
      <c r="Q180" s="7">
        <f>IF(OR(O180="",P180=""),"",O180-P180)</f>
        <v/>
      </c>
      <c r="R180" s="7">
        <f>IF(OR(O180="",F180=""),"",O180*F180-1)</f>
        <v/>
      </c>
      <c r="S180" s="2">
        <f>IF(C180="","",ROUND(100*(0.20*H180+0.15*I180+0.15*J180+0.25*K180+0.10*L180+0.05*M180+0.10*N180),0))</f>
        <v/>
      </c>
      <c r="T180" s="2">
        <f>IF(C180="","",IF(OR(F180&lt;PARAMETROS!$B$12,F180&gt;PARAMETROS!$B$13,G180&lt;PARAMETROS!$B$11),"NO APTO",IF(O180&lt;IF(F180&lt;1.6,CONFIG!$B$4,IF(F180&lt;1.7,CONFIG!$B$5,IF(F180&lt;1.8,CONFIG!$B$6,IF(F180&lt;2,CONFIG!$B$7,IF(F180&lt;2.2,CONFIG!$B$8,CONFIG!$B$9))))),"NO APTO",IF(R180&lt;PARAMETROS!$B$14,"NO APTO",IF(S180&gt;=PARAMETROS!$B$10,"ALERTA FUERTE",IF(S180&gt;=PARAMETROS!$B$9,"ALERTA MEDIA","NO APTO"))))))</f>
        <v/>
      </c>
      <c r="U180" s="2">
        <f>IF(T180="","",IF(T180="NO APTO","No cumple uno o más filtros",IF(T180="ALERTA FUERTE","Probabilidad, EV, muestra y score superan filtros","Cumple filtros con confianza media")))</f>
        <v/>
      </c>
    </row>
    <row r="181">
      <c r="A181" s="2">
        <f>IF(C181="","",ROW()-1)</f>
        <v/>
      </c>
      <c r="B181" s="2" t="n"/>
      <c r="C181" s="2" t="n"/>
      <c r="D181" s="2" t="n"/>
      <c r="E181" s="2" t="n"/>
      <c r="F181" s="6" t="n"/>
      <c r="G181" s="2" t="n"/>
      <c r="H181" s="7" t="n"/>
      <c r="I181" s="7" t="n"/>
      <c r="J181" s="7" t="n"/>
      <c r="K181" s="7" t="n"/>
      <c r="L181" s="7" t="n"/>
      <c r="M181" s="7" t="n"/>
      <c r="N181" s="7" t="n"/>
      <c r="O181" s="7">
        <f>IF(C181="","",MAX(0.05,MIN(0.95,0.20*H181+0.15*I181+0.15*J181+0.25*K181+0.10*L181+0.05*M181+0.10*N181)))</f>
        <v/>
      </c>
      <c r="P181" s="7">
        <f>IFERROR(1/F181,"")</f>
        <v/>
      </c>
      <c r="Q181" s="7">
        <f>IF(OR(O181="",P181=""),"",O181-P181)</f>
        <v/>
      </c>
      <c r="R181" s="7">
        <f>IF(OR(O181="",F181=""),"",O181*F181-1)</f>
        <v/>
      </c>
      <c r="S181" s="2">
        <f>IF(C181="","",ROUND(100*(0.20*H181+0.15*I181+0.15*J181+0.25*K181+0.10*L181+0.05*M181+0.10*N181),0))</f>
        <v/>
      </c>
      <c r="T181" s="2">
        <f>IF(C181="","",IF(OR(F181&lt;PARAMETROS!$B$12,F181&gt;PARAMETROS!$B$13,G181&lt;PARAMETROS!$B$11),"NO APTO",IF(O181&lt;IF(F181&lt;1.6,CONFIG!$B$4,IF(F181&lt;1.7,CONFIG!$B$5,IF(F181&lt;1.8,CONFIG!$B$6,IF(F181&lt;2,CONFIG!$B$7,IF(F181&lt;2.2,CONFIG!$B$8,CONFIG!$B$9))))),"NO APTO",IF(R181&lt;PARAMETROS!$B$14,"NO APTO",IF(S181&gt;=PARAMETROS!$B$10,"ALERTA FUERTE",IF(S181&gt;=PARAMETROS!$B$9,"ALERTA MEDIA","NO APTO"))))))</f>
        <v/>
      </c>
      <c r="U181" s="2">
        <f>IF(T181="","",IF(T181="NO APTO","No cumple uno o más filtros",IF(T181="ALERTA FUERTE","Probabilidad, EV, muestra y score superan filtros","Cumple filtros con confianza media")))</f>
        <v/>
      </c>
    </row>
    <row r="182">
      <c r="A182" s="2">
        <f>IF(C182="","",ROW()-1)</f>
        <v/>
      </c>
      <c r="B182" s="2" t="n"/>
      <c r="C182" s="2" t="n"/>
      <c r="D182" s="2" t="n"/>
      <c r="E182" s="2" t="n"/>
      <c r="F182" s="6" t="n"/>
      <c r="G182" s="2" t="n"/>
      <c r="H182" s="7" t="n"/>
      <c r="I182" s="7" t="n"/>
      <c r="J182" s="7" t="n"/>
      <c r="K182" s="7" t="n"/>
      <c r="L182" s="7" t="n"/>
      <c r="M182" s="7" t="n"/>
      <c r="N182" s="7" t="n"/>
      <c r="O182" s="7">
        <f>IF(C182="","",MAX(0.05,MIN(0.95,0.20*H182+0.15*I182+0.15*J182+0.25*K182+0.10*L182+0.05*M182+0.10*N182)))</f>
        <v/>
      </c>
      <c r="P182" s="7">
        <f>IFERROR(1/F182,"")</f>
        <v/>
      </c>
      <c r="Q182" s="7">
        <f>IF(OR(O182="",P182=""),"",O182-P182)</f>
        <v/>
      </c>
      <c r="R182" s="7">
        <f>IF(OR(O182="",F182=""),"",O182*F182-1)</f>
        <v/>
      </c>
      <c r="S182" s="2">
        <f>IF(C182="","",ROUND(100*(0.20*H182+0.15*I182+0.15*J182+0.25*K182+0.10*L182+0.05*M182+0.10*N182),0))</f>
        <v/>
      </c>
      <c r="T182" s="2">
        <f>IF(C182="","",IF(OR(F182&lt;PARAMETROS!$B$12,F182&gt;PARAMETROS!$B$13,G182&lt;PARAMETROS!$B$11),"NO APTO",IF(O182&lt;IF(F182&lt;1.6,CONFIG!$B$4,IF(F182&lt;1.7,CONFIG!$B$5,IF(F182&lt;1.8,CONFIG!$B$6,IF(F182&lt;2,CONFIG!$B$7,IF(F182&lt;2.2,CONFIG!$B$8,CONFIG!$B$9))))),"NO APTO",IF(R182&lt;PARAMETROS!$B$14,"NO APTO",IF(S182&gt;=PARAMETROS!$B$10,"ALERTA FUERTE",IF(S182&gt;=PARAMETROS!$B$9,"ALERTA MEDIA","NO APTO"))))))</f>
        <v/>
      </c>
      <c r="U182" s="2">
        <f>IF(T182="","",IF(T182="NO APTO","No cumple uno o más filtros",IF(T182="ALERTA FUERTE","Probabilidad, EV, muestra y score superan filtros","Cumple filtros con confianza media")))</f>
        <v/>
      </c>
    </row>
    <row r="183">
      <c r="A183" s="2">
        <f>IF(C183="","",ROW()-1)</f>
        <v/>
      </c>
      <c r="B183" s="2" t="n"/>
      <c r="C183" s="2" t="n"/>
      <c r="D183" s="2" t="n"/>
      <c r="E183" s="2" t="n"/>
      <c r="F183" s="6" t="n"/>
      <c r="G183" s="2" t="n"/>
      <c r="H183" s="7" t="n"/>
      <c r="I183" s="7" t="n"/>
      <c r="J183" s="7" t="n"/>
      <c r="K183" s="7" t="n"/>
      <c r="L183" s="7" t="n"/>
      <c r="M183" s="7" t="n"/>
      <c r="N183" s="7" t="n"/>
      <c r="O183" s="7">
        <f>IF(C183="","",MAX(0.05,MIN(0.95,0.20*H183+0.15*I183+0.15*J183+0.25*K183+0.10*L183+0.05*M183+0.10*N183)))</f>
        <v/>
      </c>
      <c r="P183" s="7">
        <f>IFERROR(1/F183,"")</f>
        <v/>
      </c>
      <c r="Q183" s="7">
        <f>IF(OR(O183="",P183=""),"",O183-P183)</f>
        <v/>
      </c>
      <c r="R183" s="7">
        <f>IF(OR(O183="",F183=""),"",O183*F183-1)</f>
        <v/>
      </c>
      <c r="S183" s="2">
        <f>IF(C183="","",ROUND(100*(0.20*H183+0.15*I183+0.15*J183+0.25*K183+0.10*L183+0.05*M183+0.10*N183),0))</f>
        <v/>
      </c>
      <c r="T183" s="2">
        <f>IF(C183="","",IF(OR(F183&lt;PARAMETROS!$B$12,F183&gt;PARAMETROS!$B$13,G183&lt;PARAMETROS!$B$11),"NO APTO",IF(O183&lt;IF(F183&lt;1.6,CONFIG!$B$4,IF(F183&lt;1.7,CONFIG!$B$5,IF(F183&lt;1.8,CONFIG!$B$6,IF(F183&lt;2,CONFIG!$B$7,IF(F183&lt;2.2,CONFIG!$B$8,CONFIG!$B$9))))),"NO APTO",IF(R183&lt;PARAMETROS!$B$14,"NO APTO",IF(S183&gt;=PARAMETROS!$B$10,"ALERTA FUERTE",IF(S183&gt;=PARAMETROS!$B$9,"ALERTA MEDIA","NO APTO"))))))</f>
        <v/>
      </c>
      <c r="U183" s="2">
        <f>IF(T183="","",IF(T183="NO APTO","No cumple uno o más filtros",IF(T183="ALERTA FUERTE","Probabilidad, EV, muestra y score superan filtros","Cumple filtros con confianza media")))</f>
        <v/>
      </c>
    </row>
    <row r="184">
      <c r="A184" s="2">
        <f>IF(C184="","",ROW()-1)</f>
        <v/>
      </c>
      <c r="B184" s="2" t="n"/>
      <c r="C184" s="2" t="n"/>
      <c r="D184" s="2" t="n"/>
      <c r="E184" s="2" t="n"/>
      <c r="F184" s="6" t="n"/>
      <c r="G184" s="2" t="n"/>
      <c r="H184" s="7" t="n"/>
      <c r="I184" s="7" t="n"/>
      <c r="J184" s="7" t="n"/>
      <c r="K184" s="7" t="n"/>
      <c r="L184" s="7" t="n"/>
      <c r="M184" s="7" t="n"/>
      <c r="N184" s="7" t="n"/>
      <c r="O184" s="7">
        <f>IF(C184="","",MAX(0.05,MIN(0.95,0.20*H184+0.15*I184+0.15*J184+0.25*K184+0.10*L184+0.05*M184+0.10*N184)))</f>
        <v/>
      </c>
      <c r="P184" s="7">
        <f>IFERROR(1/F184,"")</f>
        <v/>
      </c>
      <c r="Q184" s="7">
        <f>IF(OR(O184="",P184=""),"",O184-P184)</f>
        <v/>
      </c>
      <c r="R184" s="7">
        <f>IF(OR(O184="",F184=""),"",O184*F184-1)</f>
        <v/>
      </c>
      <c r="S184" s="2">
        <f>IF(C184="","",ROUND(100*(0.20*H184+0.15*I184+0.15*J184+0.25*K184+0.10*L184+0.05*M184+0.10*N184),0))</f>
        <v/>
      </c>
      <c r="T184" s="2">
        <f>IF(C184="","",IF(OR(F184&lt;PARAMETROS!$B$12,F184&gt;PARAMETROS!$B$13,G184&lt;PARAMETROS!$B$11),"NO APTO",IF(O184&lt;IF(F184&lt;1.6,CONFIG!$B$4,IF(F184&lt;1.7,CONFIG!$B$5,IF(F184&lt;1.8,CONFIG!$B$6,IF(F184&lt;2,CONFIG!$B$7,IF(F184&lt;2.2,CONFIG!$B$8,CONFIG!$B$9))))),"NO APTO",IF(R184&lt;PARAMETROS!$B$14,"NO APTO",IF(S184&gt;=PARAMETROS!$B$10,"ALERTA FUERTE",IF(S184&gt;=PARAMETROS!$B$9,"ALERTA MEDIA","NO APTO"))))))</f>
        <v/>
      </c>
      <c r="U184" s="2">
        <f>IF(T184="","",IF(T184="NO APTO","No cumple uno o más filtros",IF(T184="ALERTA FUERTE","Probabilidad, EV, muestra y score superan filtros","Cumple filtros con confianza media")))</f>
        <v/>
      </c>
    </row>
    <row r="185">
      <c r="A185" s="2">
        <f>IF(C185="","",ROW()-1)</f>
        <v/>
      </c>
      <c r="B185" s="2" t="n"/>
      <c r="C185" s="2" t="n"/>
      <c r="D185" s="2" t="n"/>
      <c r="E185" s="2" t="n"/>
      <c r="F185" s="6" t="n"/>
      <c r="G185" s="2" t="n"/>
      <c r="H185" s="7" t="n"/>
      <c r="I185" s="7" t="n"/>
      <c r="J185" s="7" t="n"/>
      <c r="K185" s="7" t="n"/>
      <c r="L185" s="7" t="n"/>
      <c r="M185" s="7" t="n"/>
      <c r="N185" s="7" t="n"/>
      <c r="O185" s="7">
        <f>IF(C185="","",MAX(0.05,MIN(0.95,0.20*H185+0.15*I185+0.15*J185+0.25*K185+0.10*L185+0.05*M185+0.10*N185)))</f>
        <v/>
      </c>
      <c r="P185" s="7">
        <f>IFERROR(1/F185,"")</f>
        <v/>
      </c>
      <c r="Q185" s="7">
        <f>IF(OR(O185="",P185=""),"",O185-P185)</f>
        <v/>
      </c>
      <c r="R185" s="7">
        <f>IF(OR(O185="",F185=""),"",O185*F185-1)</f>
        <v/>
      </c>
      <c r="S185" s="2">
        <f>IF(C185="","",ROUND(100*(0.20*H185+0.15*I185+0.15*J185+0.25*K185+0.10*L185+0.05*M185+0.10*N185),0))</f>
        <v/>
      </c>
      <c r="T185" s="2">
        <f>IF(C185="","",IF(OR(F185&lt;PARAMETROS!$B$12,F185&gt;PARAMETROS!$B$13,G185&lt;PARAMETROS!$B$11),"NO APTO",IF(O185&lt;IF(F185&lt;1.6,CONFIG!$B$4,IF(F185&lt;1.7,CONFIG!$B$5,IF(F185&lt;1.8,CONFIG!$B$6,IF(F185&lt;2,CONFIG!$B$7,IF(F185&lt;2.2,CONFIG!$B$8,CONFIG!$B$9))))),"NO APTO",IF(R185&lt;PARAMETROS!$B$14,"NO APTO",IF(S185&gt;=PARAMETROS!$B$10,"ALERTA FUERTE",IF(S185&gt;=PARAMETROS!$B$9,"ALERTA MEDIA","NO APTO"))))))</f>
        <v/>
      </c>
      <c r="U185" s="2">
        <f>IF(T185="","",IF(T185="NO APTO","No cumple uno o más filtros",IF(T185="ALERTA FUERTE","Probabilidad, EV, muestra y score superan filtros","Cumple filtros con confianza media")))</f>
        <v/>
      </c>
    </row>
    <row r="186">
      <c r="A186" s="2">
        <f>IF(C186="","",ROW()-1)</f>
        <v/>
      </c>
      <c r="B186" s="2" t="n"/>
      <c r="C186" s="2" t="n"/>
      <c r="D186" s="2" t="n"/>
      <c r="E186" s="2" t="n"/>
      <c r="F186" s="6" t="n"/>
      <c r="G186" s="2" t="n"/>
      <c r="H186" s="7" t="n"/>
      <c r="I186" s="7" t="n"/>
      <c r="J186" s="7" t="n"/>
      <c r="K186" s="7" t="n"/>
      <c r="L186" s="7" t="n"/>
      <c r="M186" s="7" t="n"/>
      <c r="N186" s="7" t="n"/>
      <c r="O186" s="7">
        <f>IF(C186="","",MAX(0.05,MIN(0.95,0.20*H186+0.15*I186+0.15*J186+0.25*K186+0.10*L186+0.05*M186+0.10*N186)))</f>
        <v/>
      </c>
      <c r="P186" s="7">
        <f>IFERROR(1/F186,"")</f>
        <v/>
      </c>
      <c r="Q186" s="7">
        <f>IF(OR(O186="",P186=""),"",O186-P186)</f>
        <v/>
      </c>
      <c r="R186" s="7">
        <f>IF(OR(O186="",F186=""),"",O186*F186-1)</f>
        <v/>
      </c>
      <c r="S186" s="2">
        <f>IF(C186="","",ROUND(100*(0.20*H186+0.15*I186+0.15*J186+0.25*K186+0.10*L186+0.05*M186+0.10*N186),0))</f>
        <v/>
      </c>
      <c r="T186" s="2">
        <f>IF(C186="","",IF(OR(F186&lt;PARAMETROS!$B$12,F186&gt;PARAMETROS!$B$13,G186&lt;PARAMETROS!$B$11),"NO APTO",IF(O186&lt;IF(F186&lt;1.6,CONFIG!$B$4,IF(F186&lt;1.7,CONFIG!$B$5,IF(F186&lt;1.8,CONFIG!$B$6,IF(F186&lt;2,CONFIG!$B$7,IF(F186&lt;2.2,CONFIG!$B$8,CONFIG!$B$9))))),"NO APTO",IF(R186&lt;PARAMETROS!$B$14,"NO APTO",IF(S186&gt;=PARAMETROS!$B$10,"ALERTA FUERTE",IF(S186&gt;=PARAMETROS!$B$9,"ALERTA MEDIA","NO APTO"))))))</f>
        <v/>
      </c>
      <c r="U186" s="2">
        <f>IF(T186="","",IF(T186="NO APTO","No cumple uno o más filtros",IF(T186="ALERTA FUERTE","Probabilidad, EV, muestra y score superan filtros","Cumple filtros con confianza media")))</f>
        <v/>
      </c>
    </row>
    <row r="187">
      <c r="A187" s="2">
        <f>IF(C187="","",ROW()-1)</f>
        <v/>
      </c>
      <c r="B187" s="2" t="n"/>
      <c r="C187" s="2" t="n"/>
      <c r="D187" s="2" t="n"/>
      <c r="E187" s="2" t="n"/>
      <c r="F187" s="6" t="n"/>
      <c r="G187" s="2" t="n"/>
      <c r="H187" s="7" t="n"/>
      <c r="I187" s="7" t="n"/>
      <c r="J187" s="7" t="n"/>
      <c r="K187" s="7" t="n"/>
      <c r="L187" s="7" t="n"/>
      <c r="M187" s="7" t="n"/>
      <c r="N187" s="7" t="n"/>
      <c r="O187" s="7">
        <f>IF(C187="","",MAX(0.05,MIN(0.95,0.20*H187+0.15*I187+0.15*J187+0.25*K187+0.10*L187+0.05*M187+0.10*N187)))</f>
        <v/>
      </c>
      <c r="P187" s="7">
        <f>IFERROR(1/F187,"")</f>
        <v/>
      </c>
      <c r="Q187" s="7">
        <f>IF(OR(O187="",P187=""),"",O187-P187)</f>
        <v/>
      </c>
      <c r="R187" s="7">
        <f>IF(OR(O187="",F187=""),"",O187*F187-1)</f>
        <v/>
      </c>
      <c r="S187" s="2">
        <f>IF(C187="","",ROUND(100*(0.20*H187+0.15*I187+0.15*J187+0.25*K187+0.10*L187+0.05*M187+0.10*N187),0))</f>
        <v/>
      </c>
      <c r="T187" s="2">
        <f>IF(C187="","",IF(OR(F187&lt;PARAMETROS!$B$12,F187&gt;PARAMETROS!$B$13,G187&lt;PARAMETROS!$B$11),"NO APTO",IF(O187&lt;IF(F187&lt;1.6,CONFIG!$B$4,IF(F187&lt;1.7,CONFIG!$B$5,IF(F187&lt;1.8,CONFIG!$B$6,IF(F187&lt;2,CONFIG!$B$7,IF(F187&lt;2.2,CONFIG!$B$8,CONFIG!$B$9))))),"NO APTO",IF(R187&lt;PARAMETROS!$B$14,"NO APTO",IF(S187&gt;=PARAMETROS!$B$10,"ALERTA FUERTE",IF(S187&gt;=PARAMETROS!$B$9,"ALERTA MEDIA","NO APTO"))))))</f>
        <v/>
      </c>
      <c r="U187" s="2">
        <f>IF(T187="","",IF(T187="NO APTO","No cumple uno o más filtros",IF(T187="ALERTA FUERTE","Probabilidad, EV, muestra y score superan filtros","Cumple filtros con confianza media")))</f>
        <v/>
      </c>
    </row>
    <row r="188">
      <c r="A188" s="2">
        <f>IF(C188="","",ROW()-1)</f>
        <v/>
      </c>
      <c r="B188" s="2" t="n"/>
      <c r="C188" s="2" t="n"/>
      <c r="D188" s="2" t="n"/>
      <c r="E188" s="2" t="n"/>
      <c r="F188" s="6" t="n"/>
      <c r="G188" s="2" t="n"/>
      <c r="H188" s="7" t="n"/>
      <c r="I188" s="7" t="n"/>
      <c r="J188" s="7" t="n"/>
      <c r="K188" s="7" t="n"/>
      <c r="L188" s="7" t="n"/>
      <c r="M188" s="7" t="n"/>
      <c r="N188" s="7" t="n"/>
      <c r="O188" s="7">
        <f>IF(C188="","",MAX(0.05,MIN(0.95,0.20*H188+0.15*I188+0.15*J188+0.25*K188+0.10*L188+0.05*M188+0.10*N188)))</f>
        <v/>
      </c>
      <c r="P188" s="7">
        <f>IFERROR(1/F188,"")</f>
        <v/>
      </c>
      <c r="Q188" s="7">
        <f>IF(OR(O188="",P188=""),"",O188-P188)</f>
        <v/>
      </c>
      <c r="R188" s="7">
        <f>IF(OR(O188="",F188=""),"",O188*F188-1)</f>
        <v/>
      </c>
      <c r="S188" s="2">
        <f>IF(C188="","",ROUND(100*(0.20*H188+0.15*I188+0.15*J188+0.25*K188+0.10*L188+0.05*M188+0.10*N188),0))</f>
        <v/>
      </c>
      <c r="T188" s="2">
        <f>IF(C188="","",IF(OR(F188&lt;PARAMETROS!$B$12,F188&gt;PARAMETROS!$B$13,G188&lt;PARAMETROS!$B$11),"NO APTO",IF(O188&lt;IF(F188&lt;1.6,CONFIG!$B$4,IF(F188&lt;1.7,CONFIG!$B$5,IF(F188&lt;1.8,CONFIG!$B$6,IF(F188&lt;2,CONFIG!$B$7,IF(F188&lt;2.2,CONFIG!$B$8,CONFIG!$B$9))))),"NO APTO",IF(R188&lt;PARAMETROS!$B$14,"NO APTO",IF(S188&gt;=PARAMETROS!$B$10,"ALERTA FUERTE",IF(S188&gt;=PARAMETROS!$B$9,"ALERTA MEDIA","NO APTO"))))))</f>
        <v/>
      </c>
      <c r="U188" s="2">
        <f>IF(T188="","",IF(T188="NO APTO","No cumple uno o más filtros",IF(T188="ALERTA FUERTE","Probabilidad, EV, muestra y score superan filtros","Cumple filtros con confianza media")))</f>
        <v/>
      </c>
    </row>
    <row r="189">
      <c r="A189" s="2">
        <f>IF(C189="","",ROW()-1)</f>
        <v/>
      </c>
      <c r="B189" s="2" t="n"/>
      <c r="C189" s="2" t="n"/>
      <c r="D189" s="2" t="n"/>
      <c r="E189" s="2" t="n"/>
      <c r="F189" s="6" t="n"/>
      <c r="G189" s="2" t="n"/>
      <c r="H189" s="7" t="n"/>
      <c r="I189" s="7" t="n"/>
      <c r="J189" s="7" t="n"/>
      <c r="K189" s="7" t="n"/>
      <c r="L189" s="7" t="n"/>
      <c r="M189" s="7" t="n"/>
      <c r="N189" s="7" t="n"/>
      <c r="O189" s="7">
        <f>IF(C189="","",MAX(0.05,MIN(0.95,0.20*H189+0.15*I189+0.15*J189+0.25*K189+0.10*L189+0.05*M189+0.10*N189)))</f>
        <v/>
      </c>
      <c r="P189" s="7">
        <f>IFERROR(1/F189,"")</f>
        <v/>
      </c>
      <c r="Q189" s="7">
        <f>IF(OR(O189="",P189=""),"",O189-P189)</f>
        <v/>
      </c>
      <c r="R189" s="7">
        <f>IF(OR(O189="",F189=""),"",O189*F189-1)</f>
        <v/>
      </c>
      <c r="S189" s="2">
        <f>IF(C189="","",ROUND(100*(0.20*H189+0.15*I189+0.15*J189+0.25*K189+0.10*L189+0.05*M189+0.10*N189),0))</f>
        <v/>
      </c>
      <c r="T189" s="2">
        <f>IF(C189="","",IF(OR(F189&lt;PARAMETROS!$B$12,F189&gt;PARAMETROS!$B$13,G189&lt;PARAMETROS!$B$11),"NO APTO",IF(O189&lt;IF(F189&lt;1.6,CONFIG!$B$4,IF(F189&lt;1.7,CONFIG!$B$5,IF(F189&lt;1.8,CONFIG!$B$6,IF(F189&lt;2,CONFIG!$B$7,IF(F189&lt;2.2,CONFIG!$B$8,CONFIG!$B$9))))),"NO APTO",IF(R189&lt;PARAMETROS!$B$14,"NO APTO",IF(S189&gt;=PARAMETROS!$B$10,"ALERTA FUERTE",IF(S189&gt;=PARAMETROS!$B$9,"ALERTA MEDIA","NO APTO"))))))</f>
        <v/>
      </c>
      <c r="U189" s="2">
        <f>IF(T189="","",IF(T189="NO APTO","No cumple uno o más filtros",IF(T189="ALERTA FUERTE","Probabilidad, EV, muestra y score superan filtros","Cumple filtros con confianza media")))</f>
        <v/>
      </c>
    </row>
    <row r="190">
      <c r="A190" s="2">
        <f>IF(C190="","",ROW()-1)</f>
        <v/>
      </c>
      <c r="B190" s="2" t="n"/>
      <c r="C190" s="2" t="n"/>
      <c r="D190" s="2" t="n"/>
      <c r="E190" s="2" t="n"/>
      <c r="F190" s="6" t="n"/>
      <c r="G190" s="2" t="n"/>
      <c r="H190" s="7" t="n"/>
      <c r="I190" s="7" t="n"/>
      <c r="J190" s="7" t="n"/>
      <c r="K190" s="7" t="n"/>
      <c r="L190" s="7" t="n"/>
      <c r="M190" s="7" t="n"/>
      <c r="N190" s="7" t="n"/>
      <c r="O190" s="7">
        <f>IF(C190="","",MAX(0.05,MIN(0.95,0.20*H190+0.15*I190+0.15*J190+0.25*K190+0.10*L190+0.05*M190+0.10*N190)))</f>
        <v/>
      </c>
      <c r="P190" s="7">
        <f>IFERROR(1/F190,"")</f>
        <v/>
      </c>
      <c r="Q190" s="7">
        <f>IF(OR(O190="",P190=""),"",O190-P190)</f>
        <v/>
      </c>
      <c r="R190" s="7">
        <f>IF(OR(O190="",F190=""),"",O190*F190-1)</f>
        <v/>
      </c>
      <c r="S190" s="2">
        <f>IF(C190="","",ROUND(100*(0.20*H190+0.15*I190+0.15*J190+0.25*K190+0.10*L190+0.05*M190+0.10*N190),0))</f>
        <v/>
      </c>
      <c r="T190" s="2">
        <f>IF(C190="","",IF(OR(F190&lt;PARAMETROS!$B$12,F190&gt;PARAMETROS!$B$13,G190&lt;PARAMETROS!$B$11),"NO APTO",IF(O190&lt;IF(F190&lt;1.6,CONFIG!$B$4,IF(F190&lt;1.7,CONFIG!$B$5,IF(F190&lt;1.8,CONFIG!$B$6,IF(F190&lt;2,CONFIG!$B$7,IF(F190&lt;2.2,CONFIG!$B$8,CONFIG!$B$9))))),"NO APTO",IF(R190&lt;PARAMETROS!$B$14,"NO APTO",IF(S190&gt;=PARAMETROS!$B$10,"ALERTA FUERTE",IF(S190&gt;=PARAMETROS!$B$9,"ALERTA MEDIA","NO APTO"))))))</f>
        <v/>
      </c>
      <c r="U190" s="2">
        <f>IF(T190="","",IF(T190="NO APTO","No cumple uno o más filtros",IF(T190="ALERTA FUERTE","Probabilidad, EV, muestra y score superan filtros","Cumple filtros con confianza media")))</f>
        <v/>
      </c>
    </row>
    <row r="191">
      <c r="A191" s="2">
        <f>IF(C191="","",ROW()-1)</f>
        <v/>
      </c>
      <c r="B191" s="2" t="n"/>
      <c r="C191" s="2" t="n"/>
      <c r="D191" s="2" t="n"/>
      <c r="E191" s="2" t="n"/>
      <c r="F191" s="6" t="n"/>
      <c r="G191" s="2" t="n"/>
      <c r="H191" s="7" t="n"/>
      <c r="I191" s="7" t="n"/>
      <c r="J191" s="7" t="n"/>
      <c r="K191" s="7" t="n"/>
      <c r="L191" s="7" t="n"/>
      <c r="M191" s="7" t="n"/>
      <c r="N191" s="7" t="n"/>
      <c r="O191" s="7">
        <f>IF(C191="","",MAX(0.05,MIN(0.95,0.20*H191+0.15*I191+0.15*J191+0.25*K191+0.10*L191+0.05*M191+0.10*N191)))</f>
        <v/>
      </c>
      <c r="P191" s="7">
        <f>IFERROR(1/F191,"")</f>
        <v/>
      </c>
      <c r="Q191" s="7">
        <f>IF(OR(O191="",P191=""),"",O191-P191)</f>
        <v/>
      </c>
      <c r="R191" s="7">
        <f>IF(OR(O191="",F191=""),"",O191*F191-1)</f>
        <v/>
      </c>
      <c r="S191" s="2">
        <f>IF(C191="","",ROUND(100*(0.20*H191+0.15*I191+0.15*J191+0.25*K191+0.10*L191+0.05*M191+0.10*N191),0))</f>
        <v/>
      </c>
      <c r="T191" s="2">
        <f>IF(C191="","",IF(OR(F191&lt;PARAMETROS!$B$12,F191&gt;PARAMETROS!$B$13,G191&lt;PARAMETROS!$B$11),"NO APTO",IF(O191&lt;IF(F191&lt;1.6,CONFIG!$B$4,IF(F191&lt;1.7,CONFIG!$B$5,IF(F191&lt;1.8,CONFIG!$B$6,IF(F191&lt;2,CONFIG!$B$7,IF(F191&lt;2.2,CONFIG!$B$8,CONFIG!$B$9))))),"NO APTO",IF(R191&lt;PARAMETROS!$B$14,"NO APTO",IF(S191&gt;=PARAMETROS!$B$10,"ALERTA FUERTE",IF(S191&gt;=PARAMETROS!$B$9,"ALERTA MEDIA","NO APTO"))))))</f>
        <v/>
      </c>
      <c r="U191" s="2">
        <f>IF(T191="","",IF(T191="NO APTO","No cumple uno o más filtros",IF(T191="ALERTA FUERTE","Probabilidad, EV, muestra y score superan filtros","Cumple filtros con confianza media")))</f>
        <v/>
      </c>
    </row>
    <row r="192">
      <c r="A192" s="2">
        <f>IF(C192="","",ROW()-1)</f>
        <v/>
      </c>
      <c r="B192" s="2" t="n"/>
      <c r="C192" s="2" t="n"/>
      <c r="D192" s="2" t="n"/>
      <c r="E192" s="2" t="n"/>
      <c r="F192" s="6" t="n"/>
      <c r="G192" s="2" t="n"/>
      <c r="H192" s="7" t="n"/>
      <c r="I192" s="7" t="n"/>
      <c r="J192" s="7" t="n"/>
      <c r="K192" s="7" t="n"/>
      <c r="L192" s="7" t="n"/>
      <c r="M192" s="7" t="n"/>
      <c r="N192" s="7" t="n"/>
      <c r="O192" s="7">
        <f>IF(C192="","",MAX(0.05,MIN(0.95,0.20*H192+0.15*I192+0.15*J192+0.25*K192+0.10*L192+0.05*M192+0.10*N192)))</f>
        <v/>
      </c>
      <c r="P192" s="7">
        <f>IFERROR(1/F192,"")</f>
        <v/>
      </c>
      <c r="Q192" s="7">
        <f>IF(OR(O192="",P192=""),"",O192-P192)</f>
        <v/>
      </c>
      <c r="R192" s="7">
        <f>IF(OR(O192="",F192=""),"",O192*F192-1)</f>
        <v/>
      </c>
      <c r="S192" s="2">
        <f>IF(C192="","",ROUND(100*(0.20*H192+0.15*I192+0.15*J192+0.25*K192+0.10*L192+0.05*M192+0.10*N192),0))</f>
        <v/>
      </c>
      <c r="T192" s="2">
        <f>IF(C192="","",IF(OR(F192&lt;PARAMETROS!$B$12,F192&gt;PARAMETROS!$B$13,G192&lt;PARAMETROS!$B$11),"NO APTO",IF(O192&lt;IF(F192&lt;1.6,CONFIG!$B$4,IF(F192&lt;1.7,CONFIG!$B$5,IF(F192&lt;1.8,CONFIG!$B$6,IF(F192&lt;2,CONFIG!$B$7,IF(F192&lt;2.2,CONFIG!$B$8,CONFIG!$B$9))))),"NO APTO",IF(R192&lt;PARAMETROS!$B$14,"NO APTO",IF(S192&gt;=PARAMETROS!$B$10,"ALERTA FUERTE",IF(S192&gt;=PARAMETROS!$B$9,"ALERTA MEDIA","NO APTO"))))))</f>
        <v/>
      </c>
      <c r="U192" s="2">
        <f>IF(T192="","",IF(T192="NO APTO","No cumple uno o más filtros",IF(T192="ALERTA FUERTE","Probabilidad, EV, muestra y score superan filtros","Cumple filtros con confianza media")))</f>
        <v/>
      </c>
    </row>
    <row r="193">
      <c r="A193" s="2">
        <f>IF(C193="","",ROW()-1)</f>
        <v/>
      </c>
      <c r="B193" s="2" t="n"/>
      <c r="C193" s="2" t="n"/>
      <c r="D193" s="2" t="n"/>
      <c r="E193" s="2" t="n"/>
      <c r="F193" s="6" t="n"/>
      <c r="G193" s="2" t="n"/>
      <c r="H193" s="7" t="n"/>
      <c r="I193" s="7" t="n"/>
      <c r="J193" s="7" t="n"/>
      <c r="K193" s="7" t="n"/>
      <c r="L193" s="7" t="n"/>
      <c r="M193" s="7" t="n"/>
      <c r="N193" s="7" t="n"/>
      <c r="O193" s="7">
        <f>IF(C193="","",MAX(0.05,MIN(0.95,0.20*H193+0.15*I193+0.15*J193+0.25*K193+0.10*L193+0.05*M193+0.10*N193)))</f>
        <v/>
      </c>
      <c r="P193" s="7">
        <f>IFERROR(1/F193,"")</f>
        <v/>
      </c>
      <c r="Q193" s="7">
        <f>IF(OR(O193="",P193=""),"",O193-P193)</f>
        <v/>
      </c>
      <c r="R193" s="7">
        <f>IF(OR(O193="",F193=""),"",O193*F193-1)</f>
        <v/>
      </c>
      <c r="S193" s="2">
        <f>IF(C193="","",ROUND(100*(0.20*H193+0.15*I193+0.15*J193+0.25*K193+0.10*L193+0.05*M193+0.10*N193),0))</f>
        <v/>
      </c>
      <c r="T193" s="2">
        <f>IF(C193="","",IF(OR(F193&lt;PARAMETROS!$B$12,F193&gt;PARAMETROS!$B$13,G193&lt;PARAMETROS!$B$11),"NO APTO",IF(O193&lt;IF(F193&lt;1.6,CONFIG!$B$4,IF(F193&lt;1.7,CONFIG!$B$5,IF(F193&lt;1.8,CONFIG!$B$6,IF(F193&lt;2,CONFIG!$B$7,IF(F193&lt;2.2,CONFIG!$B$8,CONFIG!$B$9))))),"NO APTO",IF(R193&lt;PARAMETROS!$B$14,"NO APTO",IF(S193&gt;=PARAMETROS!$B$10,"ALERTA FUERTE",IF(S193&gt;=PARAMETROS!$B$9,"ALERTA MEDIA","NO APTO"))))))</f>
        <v/>
      </c>
      <c r="U193" s="2">
        <f>IF(T193="","",IF(T193="NO APTO","No cumple uno o más filtros",IF(T193="ALERTA FUERTE","Probabilidad, EV, muestra y score superan filtros","Cumple filtros con confianza media")))</f>
        <v/>
      </c>
    </row>
    <row r="194">
      <c r="A194" s="2">
        <f>IF(C194="","",ROW()-1)</f>
        <v/>
      </c>
      <c r="B194" s="2" t="n"/>
      <c r="C194" s="2" t="n"/>
      <c r="D194" s="2" t="n"/>
      <c r="E194" s="2" t="n"/>
      <c r="F194" s="6" t="n"/>
      <c r="G194" s="2" t="n"/>
      <c r="H194" s="7" t="n"/>
      <c r="I194" s="7" t="n"/>
      <c r="J194" s="7" t="n"/>
      <c r="K194" s="7" t="n"/>
      <c r="L194" s="7" t="n"/>
      <c r="M194" s="7" t="n"/>
      <c r="N194" s="7" t="n"/>
      <c r="O194" s="7">
        <f>IF(C194="","",MAX(0.05,MIN(0.95,0.20*H194+0.15*I194+0.15*J194+0.25*K194+0.10*L194+0.05*M194+0.10*N194)))</f>
        <v/>
      </c>
      <c r="P194" s="7">
        <f>IFERROR(1/F194,"")</f>
        <v/>
      </c>
      <c r="Q194" s="7">
        <f>IF(OR(O194="",P194=""),"",O194-P194)</f>
        <v/>
      </c>
      <c r="R194" s="7">
        <f>IF(OR(O194="",F194=""),"",O194*F194-1)</f>
        <v/>
      </c>
      <c r="S194" s="2">
        <f>IF(C194="","",ROUND(100*(0.20*H194+0.15*I194+0.15*J194+0.25*K194+0.10*L194+0.05*M194+0.10*N194),0))</f>
        <v/>
      </c>
      <c r="T194" s="2">
        <f>IF(C194="","",IF(OR(F194&lt;PARAMETROS!$B$12,F194&gt;PARAMETROS!$B$13,G194&lt;PARAMETROS!$B$11),"NO APTO",IF(O194&lt;IF(F194&lt;1.6,CONFIG!$B$4,IF(F194&lt;1.7,CONFIG!$B$5,IF(F194&lt;1.8,CONFIG!$B$6,IF(F194&lt;2,CONFIG!$B$7,IF(F194&lt;2.2,CONFIG!$B$8,CONFIG!$B$9))))),"NO APTO",IF(R194&lt;PARAMETROS!$B$14,"NO APTO",IF(S194&gt;=PARAMETROS!$B$10,"ALERTA FUERTE",IF(S194&gt;=PARAMETROS!$B$9,"ALERTA MEDIA","NO APTO"))))))</f>
        <v/>
      </c>
      <c r="U194" s="2">
        <f>IF(T194="","",IF(T194="NO APTO","No cumple uno o más filtros",IF(T194="ALERTA FUERTE","Probabilidad, EV, muestra y score superan filtros","Cumple filtros con confianza media")))</f>
        <v/>
      </c>
    </row>
    <row r="195">
      <c r="A195" s="2">
        <f>IF(C195="","",ROW()-1)</f>
        <v/>
      </c>
      <c r="B195" s="2" t="n"/>
      <c r="C195" s="2" t="n"/>
      <c r="D195" s="2" t="n"/>
      <c r="E195" s="2" t="n"/>
      <c r="F195" s="6" t="n"/>
      <c r="G195" s="2" t="n"/>
      <c r="H195" s="7" t="n"/>
      <c r="I195" s="7" t="n"/>
      <c r="J195" s="7" t="n"/>
      <c r="K195" s="7" t="n"/>
      <c r="L195" s="7" t="n"/>
      <c r="M195" s="7" t="n"/>
      <c r="N195" s="7" t="n"/>
      <c r="O195" s="7">
        <f>IF(C195="","",MAX(0.05,MIN(0.95,0.20*H195+0.15*I195+0.15*J195+0.25*K195+0.10*L195+0.05*M195+0.10*N195)))</f>
        <v/>
      </c>
      <c r="P195" s="7">
        <f>IFERROR(1/F195,"")</f>
        <v/>
      </c>
      <c r="Q195" s="7">
        <f>IF(OR(O195="",P195=""),"",O195-P195)</f>
        <v/>
      </c>
      <c r="R195" s="7">
        <f>IF(OR(O195="",F195=""),"",O195*F195-1)</f>
        <v/>
      </c>
      <c r="S195" s="2">
        <f>IF(C195="","",ROUND(100*(0.20*H195+0.15*I195+0.15*J195+0.25*K195+0.10*L195+0.05*M195+0.10*N195),0))</f>
        <v/>
      </c>
      <c r="T195" s="2">
        <f>IF(C195="","",IF(OR(F195&lt;PARAMETROS!$B$12,F195&gt;PARAMETROS!$B$13,G195&lt;PARAMETROS!$B$11),"NO APTO",IF(O195&lt;IF(F195&lt;1.6,CONFIG!$B$4,IF(F195&lt;1.7,CONFIG!$B$5,IF(F195&lt;1.8,CONFIG!$B$6,IF(F195&lt;2,CONFIG!$B$7,IF(F195&lt;2.2,CONFIG!$B$8,CONFIG!$B$9))))),"NO APTO",IF(R195&lt;PARAMETROS!$B$14,"NO APTO",IF(S195&gt;=PARAMETROS!$B$10,"ALERTA FUERTE",IF(S195&gt;=PARAMETROS!$B$9,"ALERTA MEDIA","NO APTO"))))))</f>
        <v/>
      </c>
      <c r="U195" s="2">
        <f>IF(T195="","",IF(T195="NO APTO","No cumple uno o más filtros",IF(T195="ALERTA FUERTE","Probabilidad, EV, muestra y score superan filtros","Cumple filtros con confianza media")))</f>
        <v/>
      </c>
    </row>
    <row r="196">
      <c r="A196" s="2">
        <f>IF(C196="","",ROW()-1)</f>
        <v/>
      </c>
      <c r="B196" s="2" t="n"/>
      <c r="C196" s="2" t="n"/>
      <c r="D196" s="2" t="n"/>
      <c r="E196" s="2" t="n"/>
      <c r="F196" s="6" t="n"/>
      <c r="G196" s="2" t="n"/>
      <c r="H196" s="7" t="n"/>
      <c r="I196" s="7" t="n"/>
      <c r="J196" s="7" t="n"/>
      <c r="K196" s="7" t="n"/>
      <c r="L196" s="7" t="n"/>
      <c r="M196" s="7" t="n"/>
      <c r="N196" s="7" t="n"/>
      <c r="O196" s="7">
        <f>IF(C196="","",MAX(0.05,MIN(0.95,0.20*H196+0.15*I196+0.15*J196+0.25*K196+0.10*L196+0.05*M196+0.10*N196)))</f>
        <v/>
      </c>
      <c r="P196" s="7">
        <f>IFERROR(1/F196,"")</f>
        <v/>
      </c>
      <c r="Q196" s="7">
        <f>IF(OR(O196="",P196=""),"",O196-P196)</f>
        <v/>
      </c>
      <c r="R196" s="7">
        <f>IF(OR(O196="",F196=""),"",O196*F196-1)</f>
        <v/>
      </c>
      <c r="S196" s="2">
        <f>IF(C196="","",ROUND(100*(0.20*H196+0.15*I196+0.15*J196+0.25*K196+0.10*L196+0.05*M196+0.10*N196),0))</f>
        <v/>
      </c>
      <c r="T196" s="2">
        <f>IF(C196="","",IF(OR(F196&lt;PARAMETROS!$B$12,F196&gt;PARAMETROS!$B$13,G196&lt;PARAMETROS!$B$11),"NO APTO",IF(O196&lt;IF(F196&lt;1.6,CONFIG!$B$4,IF(F196&lt;1.7,CONFIG!$B$5,IF(F196&lt;1.8,CONFIG!$B$6,IF(F196&lt;2,CONFIG!$B$7,IF(F196&lt;2.2,CONFIG!$B$8,CONFIG!$B$9))))),"NO APTO",IF(R196&lt;PARAMETROS!$B$14,"NO APTO",IF(S196&gt;=PARAMETROS!$B$10,"ALERTA FUERTE",IF(S196&gt;=PARAMETROS!$B$9,"ALERTA MEDIA","NO APTO"))))))</f>
        <v/>
      </c>
      <c r="U196" s="2">
        <f>IF(T196="","",IF(T196="NO APTO","No cumple uno o más filtros",IF(T196="ALERTA FUERTE","Probabilidad, EV, muestra y score superan filtros","Cumple filtros con confianza media")))</f>
        <v/>
      </c>
    </row>
    <row r="197">
      <c r="A197" s="2">
        <f>IF(C197="","",ROW()-1)</f>
        <v/>
      </c>
      <c r="B197" s="2" t="n"/>
      <c r="C197" s="2" t="n"/>
      <c r="D197" s="2" t="n"/>
      <c r="E197" s="2" t="n"/>
      <c r="F197" s="6" t="n"/>
      <c r="G197" s="2" t="n"/>
      <c r="H197" s="7" t="n"/>
      <c r="I197" s="7" t="n"/>
      <c r="J197" s="7" t="n"/>
      <c r="K197" s="7" t="n"/>
      <c r="L197" s="7" t="n"/>
      <c r="M197" s="7" t="n"/>
      <c r="N197" s="7" t="n"/>
      <c r="O197" s="7">
        <f>IF(C197="","",MAX(0.05,MIN(0.95,0.20*H197+0.15*I197+0.15*J197+0.25*K197+0.10*L197+0.05*M197+0.10*N197)))</f>
        <v/>
      </c>
      <c r="P197" s="7">
        <f>IFERROR(1/F197,"")</f>
        <v/>
      </c>
      <c r="Q197" s="7">
        <f>IF(OR(O197="",P197=""),"",O197-P197)</f>
        <v/>
      </c>
      <c r="R197" s="7">
        <f>IF(OR(O197="",F197=""),"",O197*F197-1)</f>
        <v/>
      </c>
      <c r="S197" s="2">
        <f>IF(C197="","",ROUND(100*(0.20*H197+0.15*I197+0.15*J197+0.25*K197+0.10*L197+0.05*M197+0.10*N197),0))</f>
        <v/>
      </c>
      <c r="T197" s="2">
        <f>IF(C197="","",IF(OR(F197&lt;PARAMETROS!$B$12,F197&gt;PARAMETROS!$B$13,G197&lt;PARAMETROS!$B$11),"NO APTO",IF(O197&lt;IF(F197&lt;1.6,CONFIG!$B$4,IF(F197&lt;1.7,CONFIG!$B$5,IF(F197&lt;1.8,CONFIG!$B$6,IF(F197&lt;2,CONFIG!$B$7,IF(F197&lt;2.2,CONFIG!$B$8,CONFIG!$B$9))))),"NO APTO",IF(R197&lt;PARAMETROS!$B$14,"NO APTO",IF(S197&gt;=PARAMETROS!$B$10,"ALERTA FUERTE",IF(S197&gt;=PARAMETROS!$B$9,"ALERTA MEDIA","NO APTO"))))))</f>
        <v/>
      </c>
      <c r="U197" s="2">
        <f>IF(T197="","",IF(T197="NO APTO","No cumple uno o más filtros",IF(T197="ALERTA FUERTE","Probabilidad, EV, muestra y score superan filtros","Cumple filtros con confianza media")))</f>
        <v/>
      </c>
    </row>
    <row r="198">
      <c r="A198" s="2">
        <f>IF(C198="","",ROW()-1)</f>
        <v/>
      </c>
      <c r="B198" s="2" t="n"/>
      <c r="C198" s="2" t="n"/>
      <c r="D198" s="2" t="n"/>
      <c r="E198" s="2" t="n"/>
      <c r="F198" s="6" t="n"/>
      <c r="G198" s="2" t="n"/>
      <c r="H198" s="7" t="n"/>
      <c r="I198" s="7" t="n"/>
      <c r="J198" s="7" t="n"/>
      <c r="K198" s="7" t="n"/>
      <c r="L198" s="7" t="n"/>
      <c r="M198" s="7" t="n"/>
      <c r="N198" s="7" t="n"/>
      <c r="O198" s="7">
        <f>IF(C198="","",MAX(0.05,MIN(0.95,0.20*H198+0.15*I198+0.15*J198+0.25*K198+0.10*L198+0.05*M198+0.10*N198)))</f>
        <v/>
      </c>
      <c r="P198" s="7">
        <f>IFERROR(1/F198,"")</f>
        <v/>
      </c>
      <c r="Q198" s="7">
        <f>IF(OR(O198="",P198=""),"",O198-P198)</f>
        <v/>
      </c>
      <c r="R198" s="7">
        <f>IF(OR(O198="",F198=""),"",O198*F198-1)</f>
        <v/>
      </c>
      <c r="S198" s="2">
        <f>IF(C198="","",ROUND(100*(0.20*H198+0.15*I198+0.15*J198+0.25*K198+0.10*L198+0.05*M198+0.10*N198),0))</f>
        <v/>
      </c>
      <c r="T198" s="2">
        <f>IF(C198="","",IF(OR(F198&lt;PARAMETROS!$B$12,F198&gt;PARAMETROS!$B$13,G198&lt;PARAMETROS!$B$11),"NO APTO",IF(O198&lt;IF(F198&lt;1.6,CONFIG!$B$4,IF(F198&lt;1.7,CONFIG!$B$5,IF(F198&lt;1.8,CONFIG!$B$6,IF(F198&lt;2,CONFIG!$B$7,IF(F198&lt;2.2,CONFIG!$B$8,CONFIG!$B$9))))),"NO APTO",IF(R198&lt;PARAMETROS!$B$14,"NO APTO",IF(S198&gt;=PARAMETROS!$B$10,"ALERTA FUERTE",IF(S198&gt;=PARAMETROS!$B$9,"ALERTA MEDIA","NO APTO"))))))</f>
        <v/>
      </c>
      <c r="U198" s="2">
        <f>IF(T198="","",IF(T198="NO APTO","No cumple uno o más filtros",IF(T198="ALERTA FUERTE","Probabilidad, EV, muestra y score superan filtros","Cumple filtros con confianza media")))</f>
        <v/>
      </c>
    </row>
    <row r="199">
      <c r="A199" s="2">
        <f>IF(C199="","",ROW()-1)</f>
        <v/>
      </c>
      <c r="B199" s="2" t="n"/>
      <c r="C199" s="2" t="n"/>
      <c r="D199" s="2" t="n"/>
      <c r="E199" s="2" t="n"/>
      <c r="F199" s="6" t="n"/>
      <c r="G199" s="2" t="n"/>
      <c r="H199" s="7" t="n"/>
      <c r="I199" s="7" t="n"/>
      <c r="J199" s="7" t="n"/>
      <c r="K199" s="7" t="n"/>
      <c r="L199" s="7" t="n"/>
      <c r="M199" s="7" t="n"/>
      <c r="N199" s="7" t="n"/>
      <c r="O199" s="7">
        <f>IF(C199="","",MAX(0.05,MIN(0.95,0.20*H199+0.15*I199+0.15*J199+0.25*K199+0.10*L199+0.05*M199+0.10*N199)))</f>
        <v/>
      </c>
      <c r="P199" s="7">
        <f>IFERROR(1/F199,"")</f>
        <v/>
      </c>
      <c r="Q199" s="7">
        <f>IF(OR(O199="",P199=""),"",O199-P199)</f>
        <v/>
      </c>
      <c r="R199" s="7">
        <f>IF(OR(O199="",F199=""),"",O199*F199-1)</f>
        <v/>
      </c>
      <c r="S199" s="2">
        <f>IF(C199="","",ROUND(100*(0.20*H199+0.15*I199+0.15*J199+0.25*K199+0.10*L199+0.05*M199+0.10*N199),0))</f>
        <v/>
      </c>
      <c r="T199" s="2">
        <f>IF(C199="","",IF(OR(F199&lt;PARAMETROS!$B$12,F199&gt;PARAMETROS!$B$13,G199&lt;PARAMETROS!$B$11),"NO APTO",IF(O199&lt;IF(F199&lt;1.6,CONFIG!$B$4,IF(F199&lt;1.7,CONFIG!$B$5,IF(F199&lt;1.8,CONFIG!$B$6,IF(F199&lt;2,CONFIG!$B$7,IF(F199&lt;2.2,CONFIG!$B$8,CONFIG!$B$9))))),"NO APTO",IF(R199&lt;PARAMETROS!$B$14,"NO APTO",IF(S199&gt;=PARAMETROS!$B$10,"ALERTA FUERTE",IF(S199&gt;=PARAMETROS!$B$9,"ALERTA MEDIA","NO APTO"))))))</f>
        <v/>
      </c>
      <c r="U199" s="2">
        <f>IF(T199="","",IF(T199="NO APTO","No cumple uno o más filtros",IF(T199="ALERTA FUERTE","Probabilidad, EV, muestra y score superan filtros","Cumple filtros con confianza media")))</f>
        <v/>
      </c>
    </row>
    <row r="200">
      <c r="A200" s="2">
        <f>IF(C200="","",ROW()-1)</f>
        <v/>
      </c>
      <c r="B200" s="2" t="n"/>
      <c r="C200" s="2" t="n"/>
      <c r="D200" s="2" t="n"/>
      <c r="E200" s="2" t="n"/>
      <c r="F200" s="6" t="n"/>
      <c r="G200" s="2" t="n"/>
      <c r="H200" s="7" t="n"/>
      <c r="I200" s="7" t="n"/>
      <c r="J200" s="7" t="n"/>
      <c r="K200" s="7" t="n"/>
      <c r="L200" s="7" t="n"/>
      <c r="M200" s="7" t="n"/>
      <c r="N200" s="7" t="n"/>
      <c r="O200" s="7">
        <f>IF(C200="","",MAX(0.05,MIN(0.95,0.20*H200+0.15*I200+0.15*J200+0.25*K200+0.10*L200+0.05*M200+0.10*N200)))</f>
        <v/>
      </c>
      <c r="P200" s="7">
        <f>IFERROR(1/F200,"")</f>
        <v/>
      </c>
      <c r="Q200" s="7">
        <f>IF(OR(O200="",P200=""),"",O200-P200)</f>
        <v/>
      </c>
      <c r="R200" s="7">
        <f>IF(OR(O200="",F200=""),"",O200*F200-1)</f>
        <v/>
      </c>
      <c r="S200" s="2">
        <f>IF(C200="","",ROUND(100*(0.20*H200+0.15*I200+0.15*J200+0.25*K200+0.10*L200+0.05*M200+0.10*N200),0))</f>
        <v/>
      </c>
      <c r="T200" s="2">
        <f>IF(C200="","",IF(OR(F200&lt;PARAMETROS!$B$12,F200&gt;PARAMETROS!$B$13,G200&lt;PARAMETROS!$B$11),"NO APTO",IF(O200&lt;IF(F200&lt;1.6,CONFIG!$B$4,IF(F200&lt;1.7,CONFIG!$B$5,IF(F200&lt;1.8,CONFIG!$B$6,IF(F200&lt;2,CONFIG!$B$7,IF(F200&lt;2.2,CONFIG!$B$8,CONFIG!$B$9))))),"NO APTO",IF(R200&lt;PARAMETROS!$B$14,"NO APTO",IF(S200&gt;=PARAMETROS!$B$10,"ALERTA FUERTE",IF(S200&gt;=PARAMETROS!$B$9,"ALERTA MEDIA","NO APTO"))))))</f>
        <v/>
      </c>
      <c r="U200" s="2">
        <f>IF(T200="","",IF(T200="NO APTO","No cumple uno o más filtros",IF(T200="ALERTA FUERTE","Probabilidad, EV, muestra y score superan filtros","Cumple filtros con confianza media")))</f>
        <v/>
      </c>
    </row>
    <row r="201">
      <c r="A201" s="2">
        <f>IF(C201="","",ROW()-1)</f>
        <v/>
      </c>
      <c r="B201" s="2" t="n"/>
      <c r="C201" s="2" t="n"/>
      <c r="D201" s="2" t="n"/>
      <c r="E201" s="2" t="n"/>
      <c r="F201" s="6" t="n"/>
      <c r="G201" s="2" t="n"/>
      <c r="H201" s="7" t="n"/>
      <c r="I201" s="7" t="n"/>
      <c r="J201" s="7" t="n"/>
      <c r="K201" s="7" t="n"/>
      <c r="L201" s="7" t="n"/>
      <c r="M201" s="7" t="n"/>
      <c r="N201" s="7" t="n"/>
      <c r="O201" s="7">
        <f>IF(C201="","",MAX(0.05,MIN(0.95,0.20*H201+0.15*I201+0.15*J201+0.25*K201+0.10*L201+0.05*M201+0.10*N201)))</f>
        <v/>
      </c>
      <c r="P201" s="7">
        <f>IFERROR(1/F201,"")</f>
        <v/>
      </c>
      <c r="Q201" s="7">
        <f>IF(OR(O201="",P201=""),"",O201-P201)</f>
        <v/>
      </c>
      <c r="R201" s="7">
        <f>IF(OR(O201="",F201=""),"",O201*F201-1)</f>
        <v/>
      </c>
      <c r="S201" s="2">
        <f>IF(C201="","",ROUND(100*(0.20*H201+0.15*I201+0.15*J201+0.25*K201+0.10*L201+0.05*M201+0.10*N201),0))</f>
        <v/>
      </c>
      <c r="T201" s="2">
        <f>IF(C201="","",IF(OR(F201&lt;PARAMETROS!$B$12,F201&gt;PARAMETROS!$B$13,G201&lt;PARAMETROS!$B$11),"NO APTO",IF(O201&lt;IF(F201&lt;1.6,CONFIG!$B$4,IF(F201&lt;1.7,CONFIG!$B$5,IF(F201&lt;1.8,CONFIG!$B$6,IF(F201&lt;2,CONFIG!$B$7,IF(F201&lt;2.2,CONFIG!$B$8,CONFIG!$B$9))))),"NO APTO",IF(R201&lt;PARAMETROS!$B$14,"NO APTO",IF(S201&gt;=PARAMETROS!$B$10,"ALERTA FUERTE",IF(S201&gt;=PARAMETROS!$B$9,"ALERTA MEDIA","NO APTO"))))))</f>
        <v/>
      </c>
      <c r="U201" s="2">
        <f>IF(T201="","",IF(T201="NO APTO","No cumple uno o más filtros",IF(T201="ALERTA FUERTE","Probabilidad, EV, muestra y score superan filtros","Cumple filtros con confianza media")))</f>
        <v/>
      </c>
    </row>
    <row r="202">
      <c r="A202" s="2">
        <f>IF(C202="","",ROW()-1)</f>
        <v/>
      </c>
      <c r="B202" s="2" t="n"/>
      <c r="C202" s="2" t="n"/>
      <c r="D202" s="2" t="n"/>
      <c r="E202" s="2" t="n"/>
      <c r="F202" s="6" t="n"/>
      <c r="G202" s="2" t="n"/>
      <c r="H202" s="7" t="n"/>
      <c r="I202" s="7" t="n"/>
      <c r="J202" s="7" t="n"/>
      <c r="K202" s="7" t="n"/>
      <c r="L202" s="7" t="n"/>
      <c r="M202" s="7" t="n"/>
      <c r="N202" s="7" t="n"/>
      <c r="O202" s="7">
        <f>IF(C202="","",MAX(0.05,MIN(0.95,0.20*H202+0.15*I202+0.15*J202+0.25*K202+0.10*L202+0.05*M202+0.10*N202)))</f>
        <v/>
      </c>
      <c r="P202" s="7">
        <f>IFERROR(1/F202,"")</f>
        <v/>
      </c>
      <c r="Q202" s="7">
        <f>IF(OR(O202="",P202=""),"",O202-P202)</f>
        <v/>
      </c>
      <c r="R202" s="7">
        <f>IF(OR(O202="",F202=""),"",O202*F202-1)</f>
        <v/>
      </c>
      <c r="S202" s="2">
        <f>IF(C202="","",ROUND(100*(0.20*H202+0.15*I202+0.15*J202+0.25*K202+0.10*L202+0.05*M202+0.10*N202),0))</f>
        <v/>
      </c>
      <c r="T202" s="2">
        <f>IF(C202="","",IF(OR(F202&lt;PARAMETROS!$B$12,F202&gt;PARAMETROS!$B$13,G202&lt;PARAMETROS!$B$11),"NO APTO",IF(O202&lt;IF(F202&lt;1.6,CONFIG!$B$4,IF(F202&lt;1.7,CONFIG!$B$5,IF(F202&lt;1.8,CONFIG!$B$6,IF(F202&lt;2,CONFIG!$B$7,IF(F202&lt;2.2,CONFIG!$B$8,CONFIG!$B$9))))),"NO APTO",IF(R202&lt;PARAMETROS!$B$14,"NO APTO",IF(S202&gt;=PARAMETROS!$B$10,"ALERTA FUERTE",IF(S202&gt;=PARAMETROS!$B$9,"ALERTA MEDIA","NO APTO"))))))</f>
        <v/>
      </c>
      <c r="U202" s="2">
        <f>IF(T202="","",IF(T202="NO APTO","No cumple uno o más filtros",IF(T202="ALERTA FUERTE","Probabilidad, EV, muestra y score superan filtros","Cumple filtros con confianza media")))</f>
        <v/>
      </c>
    </row>
    <row r="203">
      <c r="A203" s="2">
        <f>IF(C203="","",ROW()-1)</f>
        <v/>
      </c>
      <c r="B203" s="2" t="n"/>
      <c r="C203" s="2" t="n"/>
      <c r="D203" s="2" t="n"/>
      <c r="E203" s="2" t="n"/>
      <c r="F203" s="6" t="n"/>
      <c r="G203" s="2" t="n"/>
      <c r="H203" s="7" t="n"/>
      <c r="I203" s="7" t="n"/>
      <c r="J203" s="7" t="n"/>
      <c r="K203" s="7" t="n"/>
      <c r="L203" s="7" t="n"/>
      <c r="M203" s="7" t="n"/>
      <c r="N203" s="7" t="n"/>
      <c r="O203" s="7">
        <f>IF(C203="","",MAX(0.05,MIN(0.95,0.20*H203+0.15*I203+0.15*J203+0.25*K203+0.10*L203+0.05*M203+0.10*N203)))</f>
        <v/>
      </c>
      <c r="P203" s="7">
        <f>IFERROR(1/F203,"")</f>
        <v/>
      </c>
      <c r="Q203" s="7">
        <f>IF(OR(O203="",P203=""),"",O203-P203)</f>
        <v/>
      </c>
      <c r="R203" s="7">
        <f>IF(OR(O203="",F203=""),"",O203*F203-1)</f>
        <v/>
      </c>
      <c r="S203" s="2">
        <f>IF(C203="","",ROUND(100*(0.20*H203+0.15*I203+0.15*J203+0.25*K203+0.10*L203+0.05*M203+0.10*N203),0))</f>
        <v/>
      </c>
      <c r="T203" s="2">
        <f>IF(C203="","",IF(OR(F203&lt;PARAMETROS!$B$12,F203&gt;PARAMETROS!$B$13,G203&lt;PARAMETROS!$B$11),"NO APTO",IF(O203&lt;IF(F203&lt;1.6,CONFIG!$B$4,IF(F203&lt;1.7,CONFIG!$B$5,IF(F203&lt;1.8,CONFIG!$B$6,IF(F203&lt;2,CONFIG!$B$7,IF(F203&lt;2.2,CONFIG!$B$8,CONFIG!$B$9))))),"NO APTO",IF(R203&lt;PARAMETROS!$B$14,"NO APTO",IF(S203&gt;=PARAMETROS!$B$10,"ALERTA FUERTE",IF(S203&gt;=PARAMETROS!$B$9,"ALERTA MEDIA","NO APTO"))))))</f>
        <v/>
      </c>
      <c r="U203" s="2">
        <f>IF(T203="","",IF(T203="NO APTO","No cumple uno o más filtros",IF(T203="ALERTA FUERTE","Probabilidad, EV, muestra y score superan filtros","Cumple filtros con confianza media")))</f>
        <v/>
      </c>
    </row>
    <row r="204">
      <c r="A204" s="2">
        <f>IF(C204="","",ROW()-1)</f>
        <v/>
      </c>
      <c r="B204" s="2" t="n"/>
      <c r="C204" s="2" t="n"/>
      <c r="D204" s="2" t="n"/>
      <c r="E204" s="2" t="n"/>
      <c r="F204" s="6" t="n"/>
      <c r="G204" s="2" t="n"/>
      <c r="H204" s="7" t="n"/>
      <c r="I204" s="7" t="n"/>
      <c r="J204" s="7" t="n"/>
      <c r="K204" s="7" t="n"/>
      <c r="L204" s="7" t="n"/>
      <c r="M204" s="7" t="n"/>
      <c r="N204" s="7" t="n"/>
      <c r="O204" s="7">
        <f>IF(C204="","",MAX(0.05,MIN(0.95,0.20*H204+0.15*I204+0.15*J204+0.25*K204+0.10*L204+0.05*M204+0.10*N204)))</f>
        <v/>
      </c>
      <c r="P204" s="7">
        <f>IFERROR(1/F204,"")</f>
        <v/>
      </c>
      <c r="Q204" s="7">
        <f>IF(OR(O204="",P204=""),"",O204-P204)</f>
        <v/>
      </c>
      <c r="R204" s="7">
        <f>IF(OR(O204="",F204=""),"",O204*F204-1)</f>
        <v/>
      </c>
      <c r="S204" s="2">
        <f>IF(C204="","",ROUND(100*(0.20*H204+0.15*I204+0.15*J204+0.25*K204+0.10*L204+0.05*M204+0.10*N204),0))</f>
        <v/>
      </c>
      <c r="T204" s="2">
        <f>IF(C204="","",IF(OR(F204&lt;PARAMETROS!$B$12,F204&gt;PARAMETROS!$B$13,G204&lt;PARAMETROS!$B$11),"NO APTO",IF(O204&lt;IF(F204&lt;1.6,CONFIG!$B$4,IF(F204&lt;1.7,CONFIG!$B$5,IF(F204&lt;1.8,CONFIG!$B$6,IF(F204&lt;2,CONFIG!$B$7,IF(F204&lt;2.2,CONFIG!$B$8,CONFIG!$B$9))))),"NO APTO",IF(R204&lt;PARAMETROS!$B$14,"NO APTO",IF(S204&gt;=PARAMETROS!$B$10,"ALERTA FUERTE",IF(S204&gt;=PARAMETROS!$B$9,"ALERTA MEDIA","NO APTO"))))))</f>
        <v/>
      </c>
      <c r="U204" s="2">
        <f>IF(T204="","",IF(T204="NO APTO","No cumple uno o más filtros",IF(T204="ALERTA FUERTE","Probabilidad, EV, muestra y score superan filtros","Cumple filtros con confianza media")))</f>
        <v/>
      </c>
    </row>
    <row r="205">
      <c r="A205" s="2">
        <f>IF(C205="","",ROW()-1)</f>
        <v/>
      </c>
      <c r="B205" s="2" t="n"/>
      <c r="C205" s="2" t="n"/>
      <c r="D205" s="2" t="n"/>
      <c r="E205" s="2" t="n"/>
      <c r="F205" s="6" t="n"/>
      <c r="G205" s="2" t="n"/>
      <c r="H205" s="7" t="n"/>
      <c r="I205" s="7" t="n"/>
      <c r="J205" s="7" t="n"/>
      <c r="K205" s="7" t="n"/>
      <c r="L205" s="7" t="n"/>
      <c r="M205" s="7" t="n"/>
      <c r="N205" s="7" t="n"/>
      <c r="O205" s="7">
        <f>IF(C205="","",MAX(0.05,MIN(0.95,0.20*H205+0.15*I205+0.15*J205+0.25*K205+0.10*L205+0.05*M205+0.10*N205)))</f>
        <v/>
      </c>
      <c r="P205" s="7">
        <f>IFERROR(1/F205,"")</f>
        <v/>
      </c>
      <c r="Q205" s="7">
        <f>IF(OR(O205="",P205=""),"",O205-P205)</f>
        <v/>
      </c>
      <c r="R205" s="7">
        <f>IF(OR(O205="",F205=""),"",O205*F205-1)</f>
        <v/>
      </c>
      <c r="S205" s="2">
        <f>IF(C205="","",ROUND(100*(0.20*H205+0.15*I205+0.15*J205+0.25*K205+0.10*L205+0.05*M205+0.10*N205),0))</f>
        <v/>
      </c>
      <c r="T205" s="2">
        <f>IF(C205="","",IF(OR(F205&lt;PARAMETROS!$B$12,F205&gt;PARAMETROS!$B$13,G205&lt;PARAMETROS!$B$11),"NO APTO",IF(O205&lt;IF(F205&lt;1.6,CONFIG!$B$4,IF(F205&lt;1.7,CONFIG!$B$5,IF(F205&lt;1.8,CONFIG!$B$6,IF(F205&lt;2,CONFIG!$B$7,IF(F205&lt;2.2,CONFIG!$B$8,CONFIG!$B$9))))),"NO APTO",IF(R205&lt;PARAMETROS!$B$14,"NO APTO",IF(S205&gt;=PARAMETROS!$B$10,"ALERTA FUERTE",IF(S205&gt;=PARAMETROS!$B$9,"ALERTA MEDIA","NO APTO"))))))</f>
        <v/>
      </c>
      <c r="U205" s="2">
        <f>IF(T205="","",IF(T205="NO APTO","No cumple uno o más filtros",IF(T205="ALERTA FUERTE","Probabilidad, EV, muestra y score superan filtros","Cumple filtros con confianza media")))</f>
        <v/>
      </c>
    </row>
    <row r="206">
      <c r="A206" s="2">
        <f>IF(C206="","",ROW()-1)</f>
        <v/>
      </c>
      <c r="B206" s="2" t="n"/>
      <c r="C206" s="2" t="n"/>
      <c r="D206" s="2" t="n"/>
      <c r="E206" s="2" t="n"/>
      <c r="F206" s="6" t="n"/>
      <c r="G206" s="2" t="n"/>
      <c r="H206" s="7" t="n"/>
      <c r="I206" s="7" t="n"/>
      <c r="J206" s="7" t="n"/>
      <c r="K206" s="7" t="n"/>
      <c r="L206" s="7" t="n"/>
      <c r="M206" s="7" t="n"/>
      <c r="N206" s="7" t="n"/>
      <c r="O206" s="7">
        <f>IF(C206="","",MAX(0.05,MIN(0.95,0.20*H206+0.15*I206+0.15*J206+0.25*K206+0.10*L206+0.05*M206+0.10*N206)))</f>
        <v/>
      </c>
      <c r="P206" s="7">
        <f>IFERROR(1/F206,"")</f>
        <v/>
      </c>
      <c r="Q206" s="7">
        <f>IF(OR(O206="",P206=""),"",O206-P206)</f>
        <v/>
      </c>
      <c r="R206" s="7">
        <f>IF(OR(O206="",F206=""),"",O206*F206-1)</f>
        <v/>
      </c>
      <c r="S206" s="2">
        <f>IF(C206="","",ROUND(100*(0.20*H206+0.15*I206+0.15*J206+0.25*K206+0.10*L206+0.05*M206+0.10*N206),0))</f>
        <v/>
      </c>
      <c r="T206" s="2">
        <f>IF(C206="","",IF(OR(F206&lt;PARAMETROS!$B$12,F206&gt;PARAMETROS!$B$13,G206&lt;PARAMETROS!$B$11),"NO APTO",IF(O206&lt;IF(F206&lt;1.6,CONFIG!$B$4,IF(F206&lt;1.7,CONFIG!$B$5,IF(F206&lt;1.8,CONFIG!$B$6,IF(F206&lt;2,CONFIG!$B$7,IF(F206&lt;2.2,CONFIG!$B$8,CONFIG!$B$9))))),"NO APTO",IF(R206&lt;PARAMETROS!$B$14,"NO APTO",IF(S206&gt;=PARAMETROS!$B$10,"ALERTA FUERTE",IF(S206&gt;=PARAMETROS!$B$9,"ALERTA MEDIA","NO APTO"))))))</f>
        <v/>
      </c>
      <c r="U206" s="2">
        <f>IF(T206="","",IF(T206="NO APTO","No cumple uno o más filtros",IF(T206="ALERTA FUERTE","Probabilidad, EV, muestra y score superan filtros","Cumple filtros con confianza media")))</f>
        <v/>
      </c>
    </row>
    <row r="207">
      <c r="A207" s="2">
        <f>IF(C207="","",ROW()-1)</f>
        <v/>
      </c>
      <c r="B207" s="2" t="n"/>
      <c r="C207" s="2" t="n"/>
      <c r="D207" s="2" t="n"/>
      <c r="E207" s="2" t="n"/>
      <c r="F207" s="6" t="n"/>
      <c r="G207" s="2" t="n"/>
      <c r="H207" s="7" t="n"/>
      <c r="I207" s="7" t="n"/>
      <c r="J207" s="7" t="n"/>
      <c r="K207" s="7" t="n"/>
      <c r="L207" s="7" t="n"/>
      <c r="M207" s="7" t="n"/>
      <c r="N207" s="7" t="n"/>
      <c r="O207" s="7">
        <f>IF(C207="","",MAX(0.05,MIN(0.95,0.20*H207+0.15*I207+0.15*J207+0.25*K207+0.10*L207+0.05*M207+0.10*N207)))</f>
        <v/>
      </c>
      <c r="P207" s="7">
        <f>IFERROR(1/F207,"")</f>
        <v/>
      </c>
      <c r="Q207" s="7">
        <f>IF(OR(O207="",P207=""),"",O207-P207)</f>
        <v/>
      </c>
      <c r="R207" s="7">
        <f>IF(OR(O207="",F207=""),"",O207*F207-1)</f>
        <v/>
      </c>
      <c r="S207" s="2">
        <f>IF(C207="","",ROUND(100*(0.20*H207+0.15*I207+0.15*J207+0.25*K207+0.10*L207+0.05*M207+0.10*N207),0))</f>
        <v/>
      </c>
      <c r="T207" s="2">
        <f>IF(C207="","",IF(OR(F207&lt;PARAMETROS!$B$12,F207&gt;PARAMETROS!$B$13,G207&lt;PARAMETROS!$B$11),"NO APTO",IF(O207&lt;IF(F207&lt;1.6,CONFIG!$B$4,IF(F207&lt;1.7,CONFIG!$B$5,IF(F207&lt;1.8,CONFIG!$B$6,IF(F207&lt;2,CONFIG!$B$7,IF(F207&lt;2.2,CONFIG!$B$8,CONFIG!$B$9))))),"NO APTO",IF(R207&lt;PARAMETROS!$B$14,"NO APTO",IF(S207&gt;=PARAMETROS!$B$10,"ALERTA FUERTE",IF(S207&gt;=PARAMETROS!$B$9,"ALERTA MEDIA","NO APTO"))))))</f>
        <v/>
      </c>
      <c r="U207" s="2">
        <f>IF(T207="","",IF(T207="NO APTO","No cumple uno o más filtros",IF(T207="ALERTA FUERTE","Probabilidad, EV, muestra y score superan filtros","Cumple filtros con confianza media")))</f>
        <v/>
      </c>
    </row>
    <row r="208">
      <c r="A208" s="2">
        <f>IF(C208="","",ROW()-1)</f>
        <v/>
      </c>
      <c r="B208" s="2" t="n"/>
      <c r="C208" s="2" t="n"/>
      <c r="D208" s="2" t="n"/>
      <c r="E208" s="2" t="n"/>
      <c r="F208" s="6" t="n"/>
      <c r="G208" s="2" t="n"/>
      <c r="H208" s="7" t="n"/>
      <c r="I208" s="7" t="n"/>
      <c r="J208" s="7" t="n"/>
      <c r="K208" s="7" t="n"/>
      <c r="L208" s="7" t="n"/>
      <c r="M208" s="7" t="n"/>
      <c r="N208" s="7" t="n"/>
      <c r="O208" s="7">
        <f>IF(C208="","",MAX(0.05,MIN(0.95,0.20*H208+0.15*I208+0.15*J208+0.25*K208+0.10*L208+0.05*M208+0.10*N208)))</f>
        <v/>
      </c>
      <c r="P208" s="7">
        <f>IFERROR(1/F208,"")</f>
        <v/>
      </c>
      <c r="Q208" s="7">
        <f>IF(OR(O208="",P208=""),"",O208-P208)</f>
        <v/>
      </c>
      <c r="R208" s="7">
        <f>IF(OR(O208="",F208=""),"",O208*F208-1)</f>
        <v/>
      </c>
      <c r="S208" s="2">
        <f>IF(C208="","",ROUND(100*(0.20*H208+0.15*I208+0.15*J208+0.25*K208+0.10*L208+0.05*M208+0.10*N208),0))</f>
        <v/>
      </c>
      <c r="T208" s="2">
        <f>IF(C208="","",IF(OR(F208&lt;PARAMETROS!$B$12,F208&gt;PARAMETROS!$B$13,G208&lt;PARAMETROS!$B$11),"NO APTO",IF(O208&lt;IF(F208&lt;1.6,CONFIG!$B$4,IF(F208&lt;1.7,CONFIG!$B$5,IF(F208&lt;1.8,CONFIG!$B$6,IF(F208&lt;2,CONFIG!$B$7,IF(F208&lt;2.2,CONFIG!$B$8,CONFIG!$B$9))))),"NO APTO",IF(R208&lt;PARAMETROS!$B$14,"NO APTO",IF(S208&gt;=PARAMETROS!$B$10,"ALERTA FUERTE",IF(S208&gt;=PARAMETROS!$B$9,"ALERTA MEDIA","NO APTO"))))))</f>
        <v/>
      </c>
      <c r="U208" s="2">
        <f>IF(T208="","",IF(T208="NO APTO","No cumple uno o más filtros",IF(T208="ALERTA FUERTE","Probabilidad, EV, muestra y score superan filtros","Cumple filtros con confianza media")))</f>
        <v/>
      </c>
    </row>
    <row r="209">
      <c r="A209" s="2">
        <f>IF(C209="","",ROW()-1)</f>
        <v/>
      </c>
      <c r="B209" s="2" t="n"/>
      <c r="C209" s="2" t="n"/>
      <c r="D209" s="2" t="n"/>
      <c r="E209" s="2" t="n"/>
      <c r="F209" s="6" t="n"/>
      <c r="G209" s="2" t="n"/>
      <c r="H209" s="7" t="n"/>
      <c r="I209" s="7" t="n"/>
      <c r="J209" s="7" t="n"/>
      <c r="K209" s="7" t="n"/>
      <c r="L209" s="7" t="n"/>
      <c r="M209" s="7" t="n"/>
      <c r="N209" s="7" t="n"/>
      <c r="O209" s="7">
        <f>IF(C209="","",MAX(0.05,MIN(0.95,0.20*H209+0.15*I209+0.15*J209+0.25*K209+0.10*L209+0.05*M209+0.10*N209)))</f>
        <v/>
      </c>
      <c r="P209" s="7">
        <f>IFERROR(1/F209,"")</f>
        <v/>
      </c>
      <c r="Q209" s="7">
        <f>IF(OR(O209="",P209=""),"",O209-P209)</f>
        <v/>
      </c>
      <c r="R209" s="7">
        <f>IF(OR(O209="",F209=""),"",O209*F209-1)</f>
        <v/>
      </c>
      <c r="S209" s="2">
        <f>IF(C209="","",ROUND(100*(0.20*H209+0.15*I209+0.15*J209+0.25*K209+0.10*L209+0.05*M209+0.10*N209),0))</f>
        <v/>
      </c>
      <c r="T209" s="2">
        <f>IF(C209="","",IF(OR(F209&lt;PARAMETROS!$B$12,F209&gt;PARAMETROS!$B$13,G209&lt;PARAMETROS!$B$11),"NO APTO",IF(O209&lt;IF(F209&lt;1.6,CONFIG!$B$4,IF(F209&lt;1.7,CONFIG!$B$5,IF(F209&lt;1.8,CONFIG!$B$6,IF(F209&lt;2,CONFIG!$B$7,IF(F209&lt;2.2,CONFIG!$B$8,CONFIG!$B$9))))),"NO APTO",IF(R209&lt;PARAMETROS!$B$14,"NO APTO",IF(S209&gt;=PARAMETROS!$B$10,"ALERTA FUERTE",IF(S209&gt;=PARAMETROS!$B$9,"ALERTA MEDIA","NO APTO"))))))</f>
        <v/>
      </c>
      <c r="U209" s="2">
        <f>IF(T209="","",IF(T209="NO APTO","No cumple uno o más filtros",IF(T209="ALERTA FUERTE","Probabilidad, EV, muestra y score superan filtros","Cumple filtros con confianza media")))</f>
        <v/>
      </c>
    </row>
    <row r="210">
      <c r="A210" s="2">
        <f>IF(C210="","",ROW()-1)</f>
        <v/>
      </c>
      <c r="B210" s="2" t="n"/>
      <c r="C210" s="2" t="n"/>
      <c r="D210" s="2" t="n"/>
      <c r="E210" s="2" t="n"/>
      <c r="F210" s="6" t="n"/>
      <c r="G210" s="2" t="n"/>
      <c r="H210" s="7" t="n"/>
      <c r="I210" s="7" t="n"/>
      <c r="J210" s="7" t="n"/>
      <c r="K210" s="7" t="n"/>
      <c r="L210" s="7" t="n"/>
      <c r="M210" s="7" t="n"/>
      <c r="N210" s="7" t="n"/>
      <c r="O210" s="7">
        <f>IF(C210="","",MAX(0.05,MIN(0.95,0.20*H210+0.15*I210+0.15*J210+0.25*K210+0.10*L210+0.05*M210+0.10*N210)))</f>
        <v/>
      </c>
      <c r="P210" s="7">
        <f>IFERROR(1/F210,"")</f>
        <v/>
      </c>
      <c r="Q210" s="7">
        <f>IF(OR(O210="",P210=""),"",O210-P210)</f>
        <v/>
      </c>
      <c r="R210" s="7">
        <f>IF(OR(O210="",F210=""),"",O210*F210-1)</f>
        <v/>
      </c>
      <c r="S210" s="2">
        <f>IF(C210="","",ROUND(100*(0.20*H210+0.15*I210+0.15*J210+0.25*K210+0.10*L210+0.05*M210+0.10*N210),0))</f>
        <v/>
      </c>
      <c r="T210" s="2">
        <f>IF(C210="","",IF(OR(F210&lt;PARAMETROS!$B$12,F210&gt;PARAMETROS!$B$13,G210&lt;PARAMETROS!$B$11),"NO APTO",IF(O210&lt;IF(F210&lt;1.6,CONFIG!$B$4,IF(F210&lt;1.7,CONFIG!$B$5,IF(F210&lt;1.8,CONFIG!$B$6,IF(F210&lt;2,CONFIG!$B$7,IF(F210&lt;2.2,CONFIG!$B$8,CONFIG!$B$9))))),"NO APTO",IF(R210&lt;PARAMETROS!$B$14,"NO APTO",IF(S210&gt;=PARAMETROS!$B$10,"ALERTA FUERTE",IF(S210&gt;=PARAMETROS!$B$9,"ALERTA MEDIA","NO APTO"))))))</f>
        <v/>
      </c>
      <c r="U210" s="2">
        <f>IF(T210="","",IF(T210="NO APTO","No cumple uno o más filtros",IF(T210="ALERTA FUERTE","Probabilidad, EV, muestra y score superan filtros","Cumple filtros con confianza media")))</f>
        <v/>
      </c>
    </row>
    <row r="211">
      <c r="A211" s="2">
        <f>IF(C211="","",ROW()-1)</f>
        <v/>
      </c>
      <c r="B211" s="2" t="n"/>
      <c r="C211" s="2" t="n"/>
      <c r="D211" s="2" t="n"/>
      <c r="E211" s="2" t="n"/>
      <c r="F211" s="6" t="n"/>
      <c r="G211" s="2" t="n"/>
      <c r="H211" s="7" t="n"/>
      <c r="I211" s="7" t="n"/>
      <c r="J211" s="7" t="n"/>
      <c r="K211" s="7" t="n"/>
      <c r="L211" s="7" t="n"/>
      <c r="M211" s="7" t="n"/>
      <c r="N211" s="7" t="n"/>
      <c r="O211" s="7">
        <f>IF(C211="","",MAX(0.05,MIN(0.95,0.20*H211+0.15*I211+0.15*J211+0.25*K211+0.10*L211+0.05*M211+0.10*N211)))</f>
        <v/>
      </c>
      <c r="P211" s="7">
        <f>IFERROR(1/F211,"")</f>
        <v/>
      </c>
      <c r="Q211" s="7">
        <f>IF(OR(O211="",P211=""),"",O211-P211)</f>
        <v/>
      </c>
      <c r="R211" s="7">
        <f>IF(OR(O211="",F211=""),"",O211*F211-1)</f>
        <v/>
      </c>
      <c r="S211" s="2">
        <f>IF(C211="","",ROUND(100*(0.20*H211+0.15*I211+0.15*J211+0.25*K211+0.10*L211+0.05*M211+0.10*N211),0))</f>
        <v/>
      </c>
      <c r="T211" s="2">
        <f>IF(C211="","",IF(OR(F211&lt;PARAMETROS!$B$12,F211&gt;PARAMETROS!$B$13,G211&lt;PARAMETROS!$B$11),"NO APTO",IF(O211&lt;IF(F211&lt;1.6,CONFIG!$B$4,IF(F211&lt;1.7,CONFIG!$B$5,IF(F211&lt;1.8,CONFIG!$B$6,IF(F211&lt;2,CONFIG!$B$7,IF(F211&lt;2.2,CONFIG!$B$8,CONFIG!$B$9))))),"NO APTO",IF(R211&lt;PARAMETROS!$B$14,"NO APTO",IF(S211&gt;=PARAMETROS!$B$10,"ALERTA FUERTE",IF(S211&gt;=PARAMETROS!$B$9,"ALERTA MEDIA","NO APTO"))))))</f>
        <v/>
      </c>
      <c r="U211" s="2">
        <f>IF(T211="","",IF(T211="NO APTO","No cumple uno o más filtros",IF(T211="ALERTA FUERTE","Probabilidad, EV, muestra y score superan filtros","Cumple filtros con confianza media")))</f>
        <v/>
      </c>
    </row>
    <row r="212">
      <c r="A212" s="2">
        <f>IF(C212="","",ROW()-1)</f>
        <v/>
      </c>
      <c r="B212" s="2" t="n"/>
      <c r="C212" s="2" t="n"/>
      <c r="D212" s="2" t="n"/>
      <c r="E212" s="2" t="n"/>
      <c r="F212" s="6" t="n"/>
      <c r="G212" s="2" t="n"/>
      <c r="H212" s="7" t="n"/>
      <c r="I212" s="7" t="n"/>
      <c r="J212" s="7" t="n"/>
      <c r="K212" s="7" t="n"/>
      <c r="L212" s="7" t="n"/>
      <c r="M212" s="7" t="n"/>
      <c r="N212" s="7" t="n"/>
      <c r="O212" s="7">
        <f>IF(C212="","",MAX(0.05,MIN(0.95,0.20*H212+0.15*I212+0.15*J212+0.25*K212+0.10*L212+0.05*M212+0.10*N212)))</f>
        <v/>
      </c>
      <c r="P212" s="7">
        <f>IFERROR(1/F212,"")</f>
        <v/>
      </c>
      <c r="Q212" s="7">
        <f>IF(OR(O212="",P212=""),"",O212-P212)</f>
        <v/>
      </c>
      <c r="R212" s="7">
        <f>IF(OR(O212="",F212=""),"",O212*F212-1)</f>
        <v/>
      </c>
      <c r="S212" s="2">
        <f>IF(C212="","",ROUND(100*(0.20*H212+0.15*I212+0.15*J212+0.25*K212+0.10*L212+0.05*M212+0.10*N212),0))</f>
        <v/>
      </c>
      <c r="T212" s="2">
        <f>IF(C212="","",IF(OR(F212&lt;PARAMETROS!$B$12,F212&gt;PARAMETROS!$B$13,G212&lt;PARAMETROS!$B$11),"NO APTO",IF(O212&lt;IF(F212&lt;1.6,CONFIG!$B$4,IF(F212&lt;1.7,CONFIG!$B$5,IF(F212&lt;1.8,CONFIG!$B$6,IF(F212&lt;2,CONFIG!$B$7,IF(F212&lt;2.2,CONFIG!$B$8,CONFIG!$B$9))))),"NO APTO",IF(R212&lt;PARAMETROS!$B$14,"NO APTO",IF(S212&gt;=PARAMETROS!$B$10,"ALERTA FUERTE",IF(S212&gt;=PARAMETROS!$B$9,"ALERTA MEDIA","NO APTO"))))))</f>
        <v/>
      </c>
      <c r="U212" s="2">
        <f>IF(T212="","",IF(T212="NO APTO","No cumple uno o más filtros",IF(T212="ALERTA FUERTE","Probabilidad, EV, muestra y score superan filtros","Cumple filtros con confianza media")))</f>
        <v/>
      </c>
    </row>
    <row r="213">
      <c r="A213" s="2">
        <f>IF(C213="","",ROW()-1)</f>
        <v/>
      </c>
      <c r="B213" s="2" t="n"/>
      <c r="C213" s="2" t="n"/>
      <c r="D213" s="2" t="n"/>
      <c r="E213" s="2" t="n"/>
      <c r="F213" s="6" t="n"/>
      <c r="G213" s="2" t="n"/>
      <c r="H213" s="7" t="n"/>
      <c r="I213" s="7" t="n"/>
      <c r="J213" s="7" t="n"/>
      <c r="K213" s="7" t="n"/>
      <c r="L213" s="7" t="n"/>
      <c r="M213" s="7" t="n"/>
      <c r="N213" s="7" t="n"/>
      <c r="O213" s="7">
        <f>IF(C213="","",MAX(0.05,MIN(0.95,0.20*H213+0.15*I213+0.15*J213+0.25*K213+0.10*L213+0.05*M213+0.10*N213)))</f>
        <v/>
      </c>
      <c r="P213" s="7">
        <f>IFERROR(1/F213,"")</f>
        <v/>
      </c>
      <c r="Q213" s="7">
        <f>IF(OR(O213="",P213=""),"",O213-P213)</f>
        <v/>
      </c>
      <c r="R213" s="7">
        <f>IF(OR(O213="",F213=""),"",O213*F213-1)</f>
        <v/>
      </c>
      <c r="S213" s="2">
        <f>IF(C213="","",ROUND(100*(0.20*H213+0.15*I213+0.15*J213+0.25*K213+0.10*L213+0.05*M213+0.10*N213),0))</f>
        <v/>
      </c>
      <c r="T213" s="2">
        <f>IF(C213="","",IF(OR(F213&lt;PARAMETROS!$B$12,F213&gt;PARAMETROS!$B$13,G213&lt;PARAMETROS!$B$11),"NO APTO",IF(O213&lt;IF(F213&lt;1.6,CONFIG!$B$4,IF(F213&lt;1.7,CONFIG!$B$5,IF(F213&lt;1.8,CONFIG!$B$6,IF(F213&lt;2,CONFIG!$B$7,IF(F213&lt;2.2,CONFIG!$B$8,CONFIG!$B$9))))),"NO APTO",IF(R213&lt;PARAMETROS!$B$14,"NO APTO",IF(S213&gt;=PARAMETROS!$B$10,"ALERTA FUERTE",IF(S213&gt;=PARAMETROS!$B$9,"ALERTA MEDIA","NO APTO"))))))</f>
        <v/>
      </c>
      <c r="U213" s="2">
        <f>IF(T213="","",IF(T213="NO APTO","No cumple uno o más filtros",IF(T213="ALERTA FUERTE","Probabilidad, EV, muestra y score superan filtros","Cumple filtros con confianza media")))</f>
        <v/>
      </c>
    </row>
    <row r="214">
      <c r="A214" s="2">
        <f>IF(C214="","",ROW()-1)</f>
        <v/>
      </c>
      <c r="B214" s="2" t="n"/>
      <c r="C214" s="2" t="n"/>
      <c r="D214" s="2" t="n"/>
      <c r="E214" s="2" t="n"/>
      <c r="F214" s="6" t="n"/>
      <c r="G214" s="2" t="n"/>
      <c r="H214" s="7" t="n"/>
      <c r="I214" s="7" t="n"/>
      <c r="J214" s="7" t="n"/>
      <c r="K214" s="7" t="n"/>
      <c r="L214" s="7" t="n"/>
      <c r="M214" s="7" t="n"/>
      <c r="N214" s="7" t="n"/>
      <c r="O214" s="7">
        <f>IF(C214="","",MAX(0.05,MIN(0.95,0.20*H214+0.15*I214+0.15*J214+0.25*K214+0.10*L214+0.05*M214+0.10*N214)))</f>
        <v/>
      </c>
      <c r="P214" s="7">
        <f>IFERROR(1/F214,"")</f>
        <v/>
      </c>
      <c r="Q214" s="7">
        <f>IF(OR(O214="",P214=""),"",O214-P214)</f>
        <v/>
      </c>
      <c r="R214" s="7">
        <f>IF(OR(O214="",F214=""),"",O214*F214-1)</f>
        <v/>
      </c>
      <c r="S214" s="2">
        <f>IF(C214="","",ROUND(100*(0.20*H214+0.15*I214+0.15*J214+0.25*K214+0.10*L214+0.05*M214+0.10*N214),0))</f>
        <v/>
      </c>
      <c r="T214" s="2">
        <f>IF(C214="","",IF(OR(F214&lt;PARAMETROS!$B$12,F214&gt;PARAMETROS!$B$13,G214&lt;PARAMETROS!$B$11),"NO APTO",IF(O214&lt;IF(F214&lt;1.6,CONFIG!$B$4,IF(F214&lt;1.7,CONFIG!$B$5,IF(F214&lt;1.8,CONFIG!$B$6,IF(F214&lt;2,CONFIG!$B$7,IF(F214&lt;2.2,CONFIG!$B$8,CONFIG!$B$9))))),"NO APTO",IF(R214&lt;PARAMETROS!$B$14,"NO APTO",IF(S214&gt;=PARAMETROS!$B$10,"ALERTA FUERTE",IF(S214&gt;=PARAMETROS!$B$9,"ALERTA MEDIA","NO APTO"))))))</f>
        <v/>
      </c>
      <c r="U214" s="2">
        <f>IF(T214="","",IF(T214="NO APTO","No cumple uno o más filtros",IF(T214="ALERTA FUERTE","Probabilidad, EV, muestra y score superan filtros","Cumple filtros con confianza media")))</f>
        <v/>
      </c>
    </row>
    <row r="215">
      <c r="A215" s="2">
        <f>IF(C215="","",ROW()-1)</f>
        <v/>
      </c>
      <c r="B215" s="2" t="n"/>
      <c r="C215" s="2" t="n"/>
      <c r="D215" s="2" t="n"/>
      <c r="E215" s="2" t="n"/>
      <c r="F215" s="6" t="n"/>
      <c r="G215" s="2" t="n"/>
      <c r="H215" s="7" t="n"/>
      <c r="I215" s="7" t="n"/>
      <c r="J215" s="7" t="n"/>
      <c r="K215" s="7" t="n"/>
      <c r="L215" s="7" t="n"/>
      <c r="M215" s="7" t="n"/>
      <c r="N215" s="7" t="n"/>
      <c r="O215" s="7">
        <f>IF(C215="","",MAX(0.05,MIN(0.95,0.20*H215+0.15*I215+0.15*J215+0.25*K215+0.10*L215+0.05*M215+0.10*N215)))</f>
        <v/>
      </c>
      <c r="P215" s="7">
        <f>IFERROR(1/F215,"")</f>
        <v/>
      </c>
      <c r="Q215" s="7">
        <f>IF(OR(O215="",P215=""),"",O215-P215)</f>
        <v/>
      </c>
      <c r="R215" s="7">
        <f>IF(OR(O215="",F215=""),"",O215*F215-1)</f>
        <v/>
      </c>
      <c r="S215" s="2">
        <f>IF(C215="","",ROUND(100*(0.20*H215+0.15*I215+0.15*J215+0.25*K215+0.10*L215+0.05*M215+0.10*N215),0))</f>
        <v/>
      </c>
      <c r="T215" s="2">
        <f>IF(C215="","",IF(OR(F215&lt;PARAMETROS!$B$12,F215&gt;PARAMETROS!$B$13,G215&lt;PARAMETROS!$B$11),"NO APTO",IF(O215&lt;IF(F215&lt;1.6,CONFIG!$B$4,IF(F215&lt;1.7,CONFIG!$B$5,IF(F215&lt;1.8,CONFIG!$B$6,IF(F215&lt;2,CONFIG!$B$7,IF(F215&lt;2.2,CONFIG!$B$8,CONFIG!$B$9))))),"NO APTO",IF(R215&lt;PARAMETROS!$B$14,"NO APTO",IF(S215&gt;=PARAMETROS!$B$10,"ALERTA FUERTE",IF(S215&gt;=PARAMETROS!$B$9,"ALERTA MEDIA","NO APTO"))))))</f>
        <v/>
      </c>
      <c r="U215" s="2">
        <f>IF(T215="","",IF(T215="NO APTO","No cumple uno o más filtros",IF(T215="ALERTA FUERTE","Probabilidad, EV, muestra y score superan filtros","Cumple filtros con confianza media")))</f>
        <v/>
      </c>
    </row>
    <row r="216">
      <c r="A216" s="2">
        <f>IF(C216="","",ROW()-1)</f>
        <v/>
      </c>
      <c r="B216" s="2" t="n"/>
      <c r="C216" s="2" t="n"/>
      <c r="D216" s="2" t="n"/>
      <c r="E216" s="2" t="n"/>
      <c r="F216" s="6" t="n"/>
      <c r="G216" s="2" t="n"/>
      <c r="H216" s="7" t="n"/>
      <c r="I216" s="7" t="n"/>
      <c r="J216" s="7" t="n"/>
      <c r="K216" s="7" t="n"/>
      <c r="L216" s="7" t="n"/>
      <c r="M216" s="7" t="n"/>
      <c r="N216" s="7" t="n"/>
      <c r="O216" s="7">
        <f>IF(C216="","",MAX(0.05,MIN(0.95,0.20*H216+0.15*I216+0.15*J216+0.25*K216+0.10*L216+0.05*M216+0.10*N216)))</f>
        <v/>
      </c>
      <c r="P216" s="7">
        <f>IFERROR(1/F216,"")</f>
        <v/>
      </c>
      <c r="Q216" s="7">
        <f>IF(OR(O216="",P216=""),"",O216-P216)</f>
        <v/>
      </c>
      <c r="R216" s="7">
        <f>IF(OR(O216="",F216=""),"",O216*F216-1)</f>
        <v/>
      </c>
      <c r="S216" s="2">
        <f>IF(C216="","",ROUND(100*(0.20*H216+0.15*I216+0.15*J216+0.25*K216+0.10*L216+0.05*M216+0.10*N216),0))</f>
        <v/>
      </c>
      <c r="T216" s="2">
        <f>IF(C216="","",IF(OR(F216&lt;PARAMETROS!$B$12,F216&gt;PARAMETROS!$B$13,G216&lt;PARAMETROS!$B$11),"NO APTO",IF(O216&lt;IF(F216&lt;1.6,CONFIG!$B$4,IF(F216&lt;1.7,CONFIG!$B$5,IF(F216&lt;1.8,CONFIG!$B$6,IF(F216&lt;2,CONFIG!$B$7,IF(F216&lt;2.2,CONFIG!$B$8,CONFIG!$B$9))))),"NO APTO",IF(R216&lt;PARAMETROS!$B$14,"NO APTO",IF(S216&gt;=PARAMETROS!$B$10,"ALERTA FUERTE",IF(S216&gt;=PARAMETROS!$B$9,"ALERTA MEDIA","NO APTO"))))))</f>
        <v/>
      </c>
      <c r="U216" s="2">
        <f>IF(T216="","",IF(T216="NO APTO","No cumple uno o más filtros",IF(T216="ALERTA FUERTE","Probabilidad, EV, muestra y score superan filtros","Cumple filtros con confianza media")))</f>
        <v/>
      </c>
    </row>
    <row r="217">
      <c r="A217" s="2">
        <f>IF(C217="","",ROW()-1)</f>
        <v/>
      </c>
      <c r="B217" s="2" t="n"/>
      <c r="C217" s="2" t="n"/>
      <c r="D217" s="2" t="n"/>
      <c r="E217" s="2" t="n"/>
      <c r="F217" s="6" t="n"/>
      <c r="G217" s="2" t="n"/>
      <c r="H217" s="7" t="n"/>
      <c r="I217" s="7" t="n"/>
      <c r="J217" s="7" t="n"/>
      <c r="K217" s="7" t="n"/>
      <c r="L217" s="7" t="n"/>
      <c r="M217" s="7" t="n"/>
      <c r="N217" s="7" t="n"/>
      <c r="O217" s="7">
        <f>IF(C217="","",MAX(0.05,MIN(0.95,0.20*H217+0.15*I217+0.15*J217+0.25*K217+0.10*L217+0.05*M217+0.10*N217)))</f>
        <v/>
      </c>
      <c r="P217" s="7">
        <f>IFERROR(1/F217,"")</f>
        <v/>
      </c>
      <c r="Q217" s="7">
        <f>IF(OR(O217="",P217=""),"",O217-P217)</f>
        <v/>
      </c>
      <c r="R217" s="7">
        <f>IF(OR(O217="",F217=""),"",O217*F217-1)</f>
        <v/>
      </c>
      <c r="S217" s="2">
        <f>IF(C217="","",ROUND(100*(0.20*H217+0.15*I217+0.15*J217+0.25*K217+0.10*L217+0.05*M217+0.10*N217),0))</f>
        <v/>
      </c>
      <c r="T217" s="2">
        <f>IF(C217="","",IF(OR(F217&lt;PARAMETROS!$B$12,F217&gt;PARAMETROS!$B$13,G217&lt;PARAMETROS!$B$11),"NO APTO",IF(O217&lt;IF(F217&lt;1.6,CONFIG!$B$4,IF(F217&lt;1.7,CONFIG!$B$5,IF(F217&lt;1.8,CONFIG!$B$6,IF(F217&lt;2,CONFIG!$B$7,IF(F217&lt;2.2,CONFIG!$B$8,CONFIG!$B$9))))),"NO APTO",IF(R217&lt;PARAMETROS!$B$14,"NO APTO",IF(S217&gt;=PARAMETROS!$B$10,"ALERTA FUERTE",IF(S217&gt;=PARAMETROS!$B$9,"ALERTA MEDIA","NO APTO"))))))</f>
        <v/>
      </c>
      <c r="U217" s="2">
        <f>IF(T217="","",IF(T217="NO APTO","No cumple uno o más filtros",IF(T217="ALERTA FUERTE","Probabilidad, EV, muestra y score superan filtros","Cumple filtros con confianza media")))</f>
        <v/>
      </c>
    </row>
    <row r="218">
      <c r="A218" s="2">
        <f>IF(C218="","",ROW()-1)</f>
        <v/>
      </c>
      <c r="B218" s="2" t="n"/>
      <c r="C218" s="2" t="n"/>
      <c r="D218" s="2" t="n"/>
      <c r="E218" s="2" t="n"/>
      <c r="F218" s="6" t="n"/>
      <c r="G218" s="2" t="n"/>
      <c r="H218" s="7" t="n"/>
      <c r="I218" s="7" t="n"/>
      <c r="J218" s="7" t="n"/>
      <c r="K218" s="7" t="n"/>
      <c r="L218" s="7" t="n"/>
      <c r="M218" s="7" t="n"/>
      <c r="N218" s="7" t="n"/>
      <c r="O218" s="7">
        <f>IF(C218="","",MAX(0.05,MIN(0.95,0.20*H218+0.15*I218+0.15*J218+0.25*K218+0.10*L218+0.05*M218+0.10*N218)))</f>
        <v/>
      </c>
      <c r="P218" s="7">
        <f>IFERROR(1/F218,"")</f>
        <v/>
      </c>
      <c r="Q218" s="7">
        <f>IF(OR(O218="",P218=""),"",O218-P218)</f>
        <v/>
      </c>
      <c r="R218" s="7">
        <f>IF(OR(O218="",F218=""),"",O218*F218-1)</f>
        <v/>
      </c>
      <c r="S218" s="2">
        <f>IF(C218="","",ROUND(100*(0.20*H218+0.15*I218+0.15*J218+0.25*K218+0.10*L218+0.05*M218+0.10*N218),0))</f>
        <v/>
      </c>
      <c r="T218" s="2">
        <f>IF(C218="","",IF(OR(F218&lt;PARAMETROS!$B$12,F218&gt;PARAMETROS!$B$13,G218&lt;PARAMETROS!$B$11),"NO APTO",IF(O218&lt;IF(F218&lt;1.6,CONFIG!$B$4,IF(F218&lt;1.7,CONFIG!$B$5,IF(F218&lt;1.8,CONFIG!$B$6,IF(F218&lt;2,CONFIG!$B$7,IF(F218&lt;2.2,CONFIG!$B$8,CONFIG!$B$9))))),"NO APTO",IF(R218&lt;PARAMETROS!$B$14,"NO APTO",IF(S218&gt;=PARAMETROS!$B$10,"ALERTA FUERTE",IF(S218&gt;=PARAMETROS!$B$9,"ALERTA MEDIA","NO APTO"))))))</f>
        <v/>
      </c>
      <c r="U218" s="2">
        <f>IF(T218="","",IF(T218="NO APTO","No cumple uno o más filtros",IF(T218="ALERTA FUERTE","Probabilidad, EV, muestra y score superan filtros","Cumple filtros con confianza media")))</f>
        <v/>
      </c>
    </row>
    <row r="219">
      <c r="A219" s="2">
        <f>IF(C219="","",ROW()-1)</f>
        <v/>
      </c>
      <c r="B219" s="2" t="n"/>
      <c r="C219" s="2" t="n"/>
      <c r="D219" s="2" t="n"/>
      <c r="E219" s="2" t="n"/>
      <c r="F219" s="6" t="n"/>
      <c r="G219" s="2" t="n"/>
      <c r="H219" s="7" t="n"/>
      <c r="I219" s="7" t="n"/>
      <c r="J219" s="7" t="n"/>
      <c r="K219" s="7" t="n"/>
      <c r="L219" s="7" t="n"/>
      <c r="M219" s="7" t="n"/>
      <c r="N219" s="7" t="n"/>
      <c r="O219" s="7">
        <f>IF(C219="","",MAX(0.05,MIN(0.95,0.20*H219+0.15*I219+0.15*J219+0.25*K219+0.10*L219+0.05*M219+0.10*N219)))</f>
        <v/>
      </c>
      <c r="P219" s="7">
        <f>IFERROR(1/F219,"")</f>
        <v/>
      </c>
      <c r="Q219" s="7">
        <f>IF(OR(O219="",P219=""),"",O219-P219)</f>
        <v/>
      </c>
      <c r="R219" s="7">
        <f>IF(OR(O219="",F219=""),"",O219*F219-1)</f>
        <v/>
      </c>
      <c r="S219" s="2">
        <f>IF(C219="","",ROUND(100*(0.20*H219+0.15*I219+0.15*J219+0.25*K219+0.10*L219+0.05*M219+0.10*N219),0))</f>
        <v/>
      </c>
      <c r="T219" s="2">
        <f>IF(C219="","",IF(OR(F219&lt;PARAMETROS!$B$12,F219&gt;PARAMETROS!$B$13,G219&lt;PARAMETROS!$B$11),"NO APTO",IF(O219&lt;IF(F219&lt;1.6,CONFIG!$B$4,IF(F219&lt;1.7,CONFIG!$B$5,IF(F219&lt;1.8,CONFIG!$B$6,IF(F219&lt;2,CONFIG!$B$7,IF(F219&lt;2.2,CONFIG!$B$8,CONFIG!$B$9))))),"NO APTO",IF(R219&lt;PARAMETROS!$B$14,"NO APTO",IF(S219&gt;=PARAMETROS!$B$10,"ALERTA FUERTE",IF(S219&gt;=PARAMETROS!$B$9,"ALERTA MEDIA","NO APTO"))))))</f>
        <v/>
      </c>
      <c r="U219" s="2">
        <f>IF(T219="","",IF(T219="NO APTO","No cumple uno o más filtros",IF(T219="ALERTA FUERTE","Probabilidad, EV, muestra y score superan filtros","Cumple filtros con confianza media")))</f>
        <v/>
      </c>
    </row>
    <row r="220">
      <c r="A220" s="2">
        <f>IF(C220="","",ROW()-1)</f>
        <v/>
      </c>
      <c r="B220" s="2" t="n"/>
      <c r="C220" s="2" t="n"/>
      <c r="D220" s="2" t="n"/>
      <c r="E220" s="2" t="n"/>
      <c r="F220" s="6" t="n"/>
      <c r="G220" s="2" t="n"/>
      <c r="H220" s="7" t="n"/>
      <c r="I220" s="7" t="n"/>
      <c r="J220" s="7" t="n"/>
      <c r="K220" s="7" t="n"/>
      <c r="L220" s="7" t="n"/>
      <c r="M220" s="7" t="n"/>
      <c r="N220" s="7" t="n"/>
      <c r="O220" s="7">
        <f>IF(C220="","",MAX(0.05,MIN(0.95,0.20*H220+0.15*I220+0.15*J220+0.25*K220+0.10*L220+0.05*M220+0.10*N220)))</f>
        <v/>
      </c>
      <c r="P220" s="7">
        <f>IFERROR(1/F220,"")</f>
        <v/>
      </c>
      <c r="Q220" s="7">
        <f>IF(OR(O220="",P220=""),"",O220-P220)</f>
        <v/>
      </c>
      <c r="R220" s="7">
        <f>IF(OR(O220="",F220=""),"",O220*F220-1)</f>
        <v/>
      </c>
      <c r="S220" s="2">
        <f>IF(C220="","",ROUND(100*(0.20*H220+0.15*I220+0.15*J220+0.25*K220+0.10*L220+0.05*M220+0.10*N220),0))</f>
        <v/>
      </c>
      <c r="T220" s="2">
        <f>IF(C220="","",IF(OR(F220&lt;PARAMETROS!$B$12,F220&gt;PARAMETROS!$B$13,G220&lt;PARAMETROS!$B$11),"NO APTO",IF(O220&lt;IF(F220&lt;1.6,CONFIG!$B$4,IF(F220&lt;1.7,CONFIG!$B$5,IF(F220&lt;1.8,CONFIG!$B$6,IF(F220&lt;2,CONFIG!$B$7,IF(F220&lt;2.2,CONFIG!$B$8,CONFIG!$B$9))))),"NO APTO",IF(R220&lt;PARAMETROS!$B$14,"NO APTO",IF(S220&gt;=PARAMETROS!$B$10,"ALERTA FUERTE",IF(S220&gt;=PARAMETROS!$B$9,"ALERTA MEDIA","NO APTO"))))))</f>
        <v/>
      </c>
      <c r="U220" s="2">
        <f>IF(T220="","",IF(T220="NO APTO","No cumple uno o más filtros",IF(T220="ALERTA FUERTE","Probabilidad, EV, muestra y score superan filtros","Cumple filtros con confianza media")))</f>
        <v/>
      </c>
    </row>
    <row r="221">
      <c r="A221" s="2">
        <f>IF(C221="","",ROW()-1)</f>
        <v/>
      </c>
      <c r="B221" s="2" t="n"/>
      <c r="C221" s="2" t="n"/>
      <c r="D221" s="2" t="n"/>
      <c r="E221" s="2" t="n"/>
      <c r="F221" s="6" t="n"/>
      <c r="G221" s="2" t="n"/>
      <c r="H221" s="7" t="n"/>
      <c r="I221" s="7" t="n"/>
      <c r="J221" s="7" t="n"/>
      <c r="K221" s="7" t="n"/>
      <c r="L221" s="7" t="n"/>
      <c r="M221" s="7" t="n"/>
      <c r="N221" s="7" t="n"/>
      <c r="O221" s="7">
        <f>IF(C221="","",MAX(0.05,MIN(0.95,0.20*H221+0.15*I221+0.15*J221+0.25*K221+0.10*L221+0.05*M221+0.10*N221)))</f>
        <v/>
      </c>
      <c r="P221" s="7">
        <f>IFERROR(1/F221,"")</f>
        <v/>
      </c>
      <c r="Q221" s="7">
        <f>IF(OR(O221="",P221=""),"",O221-P221)</f>
        <v/>
      </c>
      <c r="R221" s="7">
        <f>IF(OR(O221="",F221=""),"",O221*F221-1)</f>
        <v/>
      </c>
      <c r="S221" s="2">
        <f>IF(C221="","",ROUND(100*(0.20*H221+0.15*I221+0.15*J221+0.25*K221+0.10*L221+0.05*M221+0.10*N221),0))</f>
        <v/>
      </c>
      <c r="T221" s="2">
        <f>IF(C221="","",IF(OR(F221&lt;PARAMETROS!$B$12,F221&gt;PARAMETROS!$B$13,G221&lt;PARAMETROS!$B$11),"NO APTO",IF(O221&lt;IF(F221&lt;1.6,CONFIG!$B$4,IF(F221&lt;1.7,CONFIG!$B$5,IF(F221&lt;1.8,CONFIG!$B$6,IF(F221&lt;2,CONFIG!$B$7,IF(F221&lt;2.2,CONFIG!$B$8,CONFIG!$B$9))))),"NO APTO",IF(R221&lt;PARAMETROS!$B$14,"NO APTO",IF(S221&gt;=PARAMETROS!$B$10,"ALERTA FUERTE",IF(S221&gt;=PARAMETROS!$B$9,"ALERTA MEDIA","NO APTO"))))))</f>
        <v/>
      </c>
      <c r="U221" s="2">
        <f>IF(T221="","",IF(T221="NO APTO","No cumple uno o más filtros",IF(T221="ALERTA FUERTE","Probabilidad, EV, muestra y score superan filtros","Cumple filtros con confianza media")))</f>
        <v/>
      </c>
    </row>
    <row r="222">
      <c r="A222" s="2">
        <f>IF(C222="","",ROW()-1)</f>
        <v/>
      </c>
      <c r="B222" s="2" t="n"/>
      <c r="C222" s="2" t="n"/>
      <c r="D222" s="2" t="n"/>
      <c r="E222" s="2" t="n"/>
      <c r="F222" s="6" t="n"/>
      <c r="G222" s="2" t="n"/>
      <c r="H222" s="7" t="n"/>
      <c r="I222" s="7" t="n"/>
      <c r="J222" s="7" t="n"/>
      <c r="K222" s="7" t="n"/>
      <c r="L222" s="7" t="n"/>
      <c r="M222" s="7" t="n"/>
      <c r="N222" s="7" t="n"/>
      <c r="O222" s="7">
        <f>IF(C222="","",MAX(0.05,MIN(0.95,0.20*H222+0.15*I222+0.15*J222+0.25*K222+0.10*L222+0.05*M222+0.10*N222)))</f>
        <v/>
      </c>
      <c r="P222" s="7">
        <f>IFERROR(1/F222,"")</f>
        <v/>
      </c>
      <c r="Q222" s="7">
        <f>IF(OR(O222="",P222=""),"",O222-P222)</f>
        <v/>
      </c>
      <c r="R222" s="7">
        <f>IF(OR(O222="",F222=""),"",O222*F222-1)</f>
        <v/>
      </c>
      <c r="S222" s="2">
        <f>IF(C222="","",ROUND(100*(0.20*H222+0.15*I222+0.15*J222+0.25*K222+0.10*L222+0.05*M222+0.10*N222),0))</f>
        <v/>
      </c>
      <c r="T222" s="2">
        <f>IF(C222="","",IF(OR(F222&lt;PARAMETROS!$B$12,F222&gt;PARAMETROS!$B$13,G222&lt;PARAMETROS!$B$11),"NO APTO",IF(O222&lt;IF(F222&lt;1.6,CONFIG!$B$4,IF(F222&lt;1.7,CONFIG!$B$5,IF(F222&lt;1.8,CONFIG!$B$6,IF(F222&lt;2,CONFIG!$B$7,IF(F222&lt;2.2,CONFIG!$B$8,CONFIG!$B$9))))),"NO APTO",IF(R222&lt;PARAMETROS!$B$14,"NO APTO",IF(S222&gt;=PARAMETROS!$B$10,"ALERTA FUERTE",IF(S222&gt;=PARAMETROS!$B$9,"ALERTA MEDIA","NO APTO"))))))</f>
        <v/>
      </c>
      <c r="U222" s="2">
        <f>IF(T222="","",IF(T222="NO APTO","No cumple uno o más filtros",IF(T222="ALERTA FUERTE","Probabilidad, EV, muestra y score superan filtros","Cumple filtros con confianza media")))</f>
        <v/>
      </c>
    </row>
    <row r="223">
      <c r="A223" s="2">
        <f>IF(C223="","",ROW()-1)</f>
        <v/>
      </c>
      <c r="B223" s="2" t="n"/>
      <c r="C223" s="2" t="n"/>
      <c r="D223" s="2" t="n"/>
      <c r="E223" s="2" t="n"/>
      <c r="F223" s="6" t="n"/>
      <c r="G223" s="2" t="n"/>
      <c r="H223" s="7" t="n"/>
      <c r="I223" s="7" t="n"/>
      <c r="J223" s="7" t="n"/>
      <c r="K223" s="7" t="n"/>
      <c r="L223" s="7" t="n"/>
      <c r="M223" s="7" t="n"/>
      <c r="N223" s="7" t="n"/>
      <c r="O223" s="7">
        <f>IF(C223="","",MAX(0.05,MIN(0.95,0.20*H223+0.15*I223+0.15*J223+0.25*K223+0.10*L223+0.05*M223+0.10*N223)))</f>
        <v/>
      </c>
      <c r="P223" s="7">
        <f>IFERROR(1/F223,"")</f>
        <v/>
      </c>
      <c r="Q223" s="7">
        <f>IF(OR(O223="",P223=""),"",O223-P223)</f>
        <v/>
      </c>
      <c r="R223" s="7">
        <f>IF(OR(O223="",F223=""),"",O223*F223-1)</f>
        <v/>
      </c>
      <c r="S223" s="2">
        <f>IF(C223="","",ROUND(100*(0.20*H223+0.15*I223+0.15*J223+0.25*K223+0.10*L223+0.05*M223+0.10*N223),0))</f>
        <v/>
      </c>
      <c r="T223" s="2">
        <f>IF(C223="","",IF(OR(F223&lt;PARAMETROS!$B$12,F223&gt;PARAMETROS!$B$13,G223&lt;PARAMETROS!$B$11),"NO APTO",IF(O223&lt;IF(F223&lt;1.6,CONFIG!$B$4,IF(F223&lt;1.7,CONFIG!$B$5,IF(F223&lt;1.8,CONFIG!$B$6,IF(F223&lt;2,CONFIG!$B$7,IF(F223&lt;2.2,CONFIG!$B$8,CONFIG!$B$9))))),"NO APTO",IF(R223&lt;PARAMETROS!$B$14,"NO APTO",IF(S223&gt;=PARAMETROS!$B$10,"ALERTA FUERTE",IF(S223&gt;=PARAMETROS!$B$9,"ALERTA MEDIA","NO APTO"))))))</f>
        <v/>
      </c>
      <c r="U223" s="2">
        <f>IF(T223="","",IF(T223="NO APTO","No cumple uno o más filtros",IF(T223="ALERTA FUERTE","Probabilidad, EV, muestra y score superan filtros","Cumple filtros con confianza media")))</f>
        <v/>
      </c>
    </row>
    <row r="224">
      <c r="A224" s="2">
        <f>IF(C224="","",ROW()-1)</f>
        <v/>
      </c>
      <c r="B224" s="2" t="n"/>
      <c r="C224" s="2" t="n"/>
      <c r="D224" s="2" t="n"/>
      <c r="E224" s="2" t="n"/>
      <c r="F224" s="6" t="n"/>
      <c r="G224" s="2" t="n"/>
      <c r="H224" s="7" t="n"/>
      <c r="I224" s="7" t="n"/>
      <c r="J224" s="7" t="n"/>
      <c r="K224" s="7" t="n"/>
      <c r="L224" s="7" t="n"/>
      <c r="M224" s="7" t="n"/>
      <c r="N224" s="7" t="n"/>
      <c r="O224" s="7">
        <f>IF(C224="","",MAX(0.05,MIN(0.95,0.20*H224+0.15*I224+0.15*J224+0.25*K224+0.10*L224+0.05*M224+0.10*N224)))</f>
        <v/>
      </c>
      <c r="P224" s="7">
        <f>IFERROR(1/F224,"")</f>
        <v/>
      </c>
      <c r="Q224" s="7">
        <f>IF(OR(O224="",P224=""),"",O224-P224)</f>
        <v/>
      </c>
      <c r="R224" s="7">
        <f>IF(OR(O224="",F224=""),"",O224*F224-1)</f>
        <v/>
      </c>
      <c r="S224" s="2">
        <f>IF(C224="","",ROUND(100*(0.20*H224+0.15*I224+0.15*J224+0.25*K224+0.10*L224+0.05*M224+0.10*N224),0))</f>
        <v/>
      </c>
      <c r="T224" s="2">
        <f>IF(C224="","",IF(OR(F224&lt;PARAMETROS!$B$12,F224&gt;PARAMETROS!$B$13,G224&lt;PARAMETROS!$B$11),"NO APTO",IF(O224&lt;IF(F224&lt;1.6,CONFIG!$B$4,IF(F224&lt;1.7,CONFIG!$B$5,IF(F224&lt;1.8,CONFIG!$B$6,IF(F224&lt;2,CONFIG!$B$7,IF(F224&lt;2.2,CONFIG!$B$8,CONFIG!$B$9))))),"NO APTO",IF(R224&lt;PARAMETROS!$B$14,"NO APTO",IF(S224&gt;=PARAMETROS!$B$10,"ALERTA FUERTE",IF(S224&gt;=PARAMETROS!$B$9,"ALERTA MEDIA","NO APTO"))))))</f>
        <v/>
      </c>
      <c r="U224" s="2">
        <f>IF(T224="","",IF(T224="NO APTO","No cumple uno o más filtros",IF(T224="ALERTA FUERTE","Probabilidad, EV, muestra y score superan filtros","Cumple filtros con confianza media")))</f>
        <v/>
      </c>
    </row>
    <row r="225">
      <c r="A225" s="2">
        <f>IF(C225="","",ROW()-1)</f>
        <v/>
      </c>
      <c r="B225" s="2" t="n"/>
      <c r="C225" s="2" t="n"/>
      <c r="D225" s="2" t="n"/>
      <c r="E225" s="2" t="n"/>
      <c r="F225" s="6" t="n"/>
      <c r="G225" s="2" t="n"/>
      <c r="H225" s="7" t="n"/>
      <c r="I225" s="7" t="n"/>
      <c r="J225" s="7" t="n"/>
      <c r="K225" s="7" t="n"/>
      <c r="L225" s="7" t="n"/>
      <c r="M225" s="7" t="n"/>
      <c r="N225" s="7" t="n"/>
      <c r="O225" s="7">
        <f>IF(C225="","",MAX(0.05,MIN(0.95,0.20*H225+0.15*I225+0.15*J225+0.25*K225+0.10*L225+0.05*M225+0.10*N225)))</f>
        <v/>
      </c>
      <c r="P225" s="7">
        <f>IFERROR(1/F225,"")</f>
        <v/>
      </c>
      <c r="Q225" s="7">
        <f>IF(OR(O225="",P225=""),"",O225-P225)</f>
        <v/>
      </c>
      <c r="R225" s="7">
        <f>IF(OR(O225="",F225=""),"",O225*F225-1)</f>
        <v/>
      </c>
      <c r="S225" s="2">
        <f>IF(C225="","",ROUND(100*(0.20*H225+0.15*I225+0.15*J225+0.25*K225+0.10*L225+0.05*M225+0.10*N225),0))</f>
        <v/>
      </c>
      <c r="T225" s="2">
        <f>IF(C225="","",IF(OR(F225&lt;PARAMETROS!$B$12,F225&gt;PARAMETROS!$B$13,G225&lt;PARAMETROS!$B$11),"NO APTO",IF(O225&lt;IF(F225&lt;1.6,CONFIG!$B$4,IF(F225&lt;1.7,CONFIG!$B$5,IF(F225&lt;1.8,CONFIG!$B$6,IF(F225&lt;2,CONFIG!$B$7,IF(F225&lt;2.2,CONFIG!$B$8,CONFIG!$B$9))))),"NO APTO",IF(R225&lt;PARAMETROS!$B$14,"NO APTO",IF(S225&gt;=PARAMETROS!$B$10,"ALERTA FUERTE",IF(S225&gt;=PARAMETROS!$B$9,"ALERTA MEDIA","NO APTO"))))))</f>
        <v/>
      </c>
      <c r="U225" s="2">
        <f>IF(T225="","",IF(T225="NO APTO","No cumple uno o más filtros",IF(T225="ALERTA FUERTE","Probabilidad, EV, muestra y score superan filtros","Cumple filtros con confianza media")))</f>
        <v/>
      </c>
    </row>
    <row r="226">
      <c r="A226" s="2">
        <f>IF(C226="","",ROW()-1)</f>
        <v/>
      </c>
      <c r="B226" s="2" t="n"/>
      <c r="C226" s="2" t="n"/>
      <c r="D226" s="2" t="n"/>
      <c r="E226" s="2" t="n"/>
      <c r="F226" s="6" t="n"/>
      <c r="G226" s="2" t="n"/>
      <c r="H226" s="7" t="n"/>
      <c r="I226" s="7" t="n"/>
      <c r="J226" s="7" t="n"/>
      <c r="K226" s="7" t="n"/>
      <c r="L226" s="7" t="n"/>
      <c r="M226" s="7" t="n"/>
      <c r="N226" s="7" t="n"/>
      <c r="O226" s="7">
        <f>IF(C226="","",MAX(0.05,MIN(0.95,0.20*H226+0.15*I226+0.15*J226+0.25*K226+0.10*L226+0.05*M226+0.10*N226)))</f>
        <v/>
      </c>
      <c r="P226" s="7">
        <f>IFERROR(1/F226,"")</f>
        <v/>
      </c>
      <c r="Q226" s="7">
        <f>IF(OR(O226="",P226=""),"",O226-P226)</f>
        <v/>
      </c>
      <c r="R226" s="7">
        <f>IF(OR(O226="",F226=""),"",O226*F226-1)</f>
        <v/>
      </c>
      <c r="S226" s="2">
        <f>IF(C226="","",ROUND(100*(0.20*H226+0.15*I226+0.15*J226+0.25*K226+0.10*L226+0.05*M226+0.10*N226),0))</f>
        <v/>
      </c>
      <c r="T226" s="2">
        <f>IF(C226="","",IF(OR(F226&lt;PARAMETROS!$B$12,F226&gt;PARAMETROS!$B$13,G226&lt;PARAMETROS!$B$11),"NO APTO",IF(O226&lt;IF(F226&lt;1.6,CONFIG!$B$4,IF(F226&lt;1.7,CONFIG!$B$5,IF(F226&lt;1.8,CONFIG!$B$6,IF(F226&lt;2,CONFIG!$B$7,IF(F226&lt;2.2,CONFIG!$B$8,CONFIG!$B$9))))),"NO APTO",IF(R226&lt;PARAMETROS!$B$14,"NO APTO",IF(S226&gt;=PARAMETROS!$B$10,"ALERTA FUERTE",IF(S226&gt;=PARAMETROS!$B$9,"ALERTA MEDIA","NO APTO"))))))</f>
        <v/>
      </c>
      <c r="U226" s="2">
        <f>IF(T226="","",IF(T226="NO APTO","No cumple uno o más filtros",IF(T226="ALERTA FUERTE","Probabilidad, EV, muestra y score superan filtros","Cumple filtros con confianza media")))</f>
        <v/>
      </c>
    </row>
    <row r="227">
      <c r="A227" s="2">
        <f>IF(C227="","",ROW()-1)</f>
        <v/>
      </c>
      <c r="B227" s="2" t="n"/>
      <c r="C227" s="2" t="n"/>
      <c r="D227" s="2" t="n"/>
      <c r="E227" s="2" t="n"/>
      <c r="F227" s="6" t="n"/>
      <c r="G227" s="2" t="n"/>
      <c r="H227" s="7" t="n"/>
      <c r="I227" s="7" t="n"/>
      <c r="J227" s="7" t="n"/>
      <c r="K227" s="7" t="n"/>
      <c r="L227" s="7" t="n"/>
      <c r="M227" s="7" t="n"/>
      <c r="N227" s="7" t="n"/>
      <c r="O227" s="7">
        <f>IF(C227="","",MAX(0.05,MIN(0.95,0.20*H227+0.15*I227+0.15*J227+0.25*K227+0.10*L227+0.05*M227+0.10*N227)))</f>
        <v/>
      </c>
      <c r="P227" s="7">
        <f>IFERROR(1/F227,"")</f>
        <v/>
      </c>
      <c r="Q227" s="7">
        <f>IF(OR(O227="",P227=""),"",O227-P227)</f>
        <v/>
      </c>
      <c r="R227" s="7">
        <f>IF(OR(O227="",F227=""),"",O227*F227-1)</f>
        <v/>
      </c>
      <c r="S227" s="2">
        <f>IF(C227="","",ROUND(100*(0.20*H227+0.15*I227+0.15*J227+0.25*K227+0.10*L227+0.05*M227+0.10*N227),0))</f>
        <v/>
      </c>
      <c r="T227" s="2">
        <f>IF(C227="","",IF(OR(F227&lt;PARAMETROS!$B$12,F227&gt;PARAMETROS!$B$13,G227&lt;PARAMETROS!$B$11),"NO APTO",IF(O227&lt;IF(F227&lt;1.6,CONFIG!$B$4,IF(F227&lt;1.7,CONFIG!$B$5,IF(F227&lt;1.8,CONFIG!$B$6,IF(F227&lt;2,CONFIG!$B$7,IF(F227&lt;2.2,CONFIG!$B$8,CONFIG!$B$9))))),"NO APTO",IF(R227&lt;PARAMETROS!$B$14,"NO APTO",IF(S227&gt;=PARAMETROS!$B$10,"ALERTA FUERTE",IF(S227&gt;=PARAMETROS!$B$9,"ALERTA MEDIA","NO APTO"))))))</f>
        <v/>
      </c>
      <c r="U227" s="2">
        <f>IF(T227="","",IF(T227="NO APTO","No cumple uno o más filtros",IF(T227="ALERTA FUERTE","Probabilidad, EV, muestra y score superan filtros","Cumple filtros con confianza media")))</f>
        <v/>
      </c>
    </row>
    <row r="228">
      <c r="A228" s="2">
        <f>IF(C228="","",ROW()-1)</f>
        <v/>
      </c>
      <c r="B228" s="2" t="n"/>
      <c r="C228" s="2" t="n"/>
      <c r="D228" s="2" t="n"/>
      <c r="E228" s="2" t="n"/>
      <c r="F228" s="6" t="n"/>
      <c r="G228" s="2" t="n"/>
      <c r="H228" s="7" t="n"/>
      <c r="I228" s="7" t="n"/>
      <c r="J228" s="7" t="n"/>
      <c r="K228" s="7" t="n"/>
      <c r="L228" s="7" t="n"/>
      <c r="M228" s="7" t="n"/>
      <c r="N228" s="7" t="n"/>
      <c r="O228" s="7">
        <f>IF(C228="","",MAX(0.05,MIN(0.95,0.20*H228+0.15*I228+0.15*J228+0.25*K228+0.10*L228+0.05*M228+0.10*N228)))</f>
        <v/>
      </c>
      <c r="P228" s="7">
        <f>IFERROR(1/F228,"")</f>
        <v/>
      </c>
      <c r="Q228" s="7">
        <f>IF(OR(O228="",P228=""),"",O228-P228)</f>
        <v/>
      </c>
      <c r="R228" s="7">
        <f>IF(OR(O228="",F228=""),"",O228*F228-1)</f>
        <v/>
      </c>
      <c r="S228" s="2">
        <f>IF(C228="","",ROUND(100*(0.20*H228+0.15*I228+0.15*J228+0.25*K228+0.10*L228+0.05*M228+0.10*N228),0))</f>
        <v/>
      </c>
      <c r="T228" s="2">
        <f>IF(C228="","",IF(OR(F228&lt;PARAMETROS!$B$12,F228&gt;PARAMETROS!$B$13,G228&lt;PARAMETROS!$B$11),"NO APTO",IF(O228&lt;IF(F228&lt;1.6,CONFIG!$B$4,IF(F228&lt;1.7,CONFIG!$B$5,IF(F228&lt;1.8,CONFIG!$B$6,IF(F228&lt;2,CONFIG!$B$7,IF(F228&lt;2.2,CONFIG!$B$8,CONFIG!$B$9))))),"NO APTO",IF(R228&lt;PARAMETROS!$B$14,"NO APTO",IF(S228&gt;=PARAMETROS!$B$10,"ALERTA FUERTE",IF(S228&gt;=PARAMETROS!$B$9,"ALERTA MEDIA","NO APTO"))))))</f>
        <v/>
      </c>
      <c r="U228" s="2">
        <f>IF(T228="","",IF(T228="NO APTO","No cumple uno o más filtros",IF(T228="ALERTA FUERTE","Probabilidad, EV, muestra y score superan filtros","Cumple filtros con confianza media")))</f>
        <v/>
      </c>
    </row>
    <row r="229">
      <c r="A229" s="2">
        <f>IF(C229="","",ROW()-1)</f>
        <v/>
      </c>
      <c r="B229" s="2" t="n"/>
      <c r="C229" s="2" t="n"/>
      <c r="D229" s="2" t="n"/>
      <c r="E229" s="2" t="n"/>
      <c r="F229" s="6" t="n"/>
      <c r="G229" s="2" t="n"/>
      <c r="H229" s="7" t="n"/>
      <c r="I229" s="7" t="n"/>
      <c r="J229" s="7" t="n"/>
      <c r="K229" s="7" t="n"/>
      <c r="L229" s="7" t="n"/>
      <c r="M229" s="7" t="n"/>
      <c r="N229" s="7" t="n"/>
      <c r="O229" s="7">
        <f>IF(C229="","",MAX(0.05,MIN(0.95,0.20*H229+0.15*I229+0.15*J229+0.25*K229+0.10*L229+0.05*M229+0.10*N229)))</f>
        <v/>
      </c>
      <c r="P229" s="7">
        <f>IFERROR(1/F229,"")</f>
        <v/>
      </c>
      <c r="Q229" s="7">
        <f>IF(OR(O229="",P229=""),"",O229-P229)</f>
        <v/>
      </c>
      <c r="R229" s="7">
        <f>IF(OR(O229="",F229=""),"",O229*F229-1)</f>
        <v/>
      </c>
      <c r="S229" s="2">
        <f>IF(C229="","",ROUND(100*(0.20*H229+0.15*I229+0.15*J229+0.25*K229+0.10*L229+0.05*M229+0.10*N229),0))</f>
        <v/>
      </c>
      <c r="T229" s="2">
        <f>IF(C229="","",IF(OR(F229&lt;PARAMETROS!$B$12,F229&gt;PARAMETROS!$B$13,G229&lt;PARAMETROS!$B$11),"NO APTO",IF(O229&lt;IF(F229&lt;1.6,CONFIG!$B$4,IF(F229&lt;1.7,CONFIG!$B$5,IF(F229&lt;1.8,CONFIG!$B$6,IF(F229&lt;2,CONFIG!$B$7,IF(F229&lt;2.2,CONFIG!$B$8,CONFIG!$B$9))))),"NO APTO",IF(R229&lt;PARAMETROS!$B$14,"NO APTO",IF(S229&gt;=PARAMETROS!$B$10,"ALERTA FUERTE",IF(S229&gt;=PARAMETROS!$B$9,"ALERTA MEDIA","NO APTO"))))))</f>
        <v/>
      </c>
      <c r="U229" s="2">
        <f>IF(T229="","",IF(T229="NO APTO","No cumple uno o más filtros",IF(T229="ALERTA FUERTE","Probabilidad, EV, muestra y score superan filtros","Cumple filtros con confianza media")))</f>
        <v/>
      </c>
    </row>
    <row r="230">
      <c r="A230" s="2">
        <f>IF(C230="","",ROW()-1)</f>
        <v/>
      </c>
      <c r="B230" s="2" t="n"/>
      <c r="C230" s="2" t="n"/>
      <c r="D230" s="2" t="n"/>
      <c r="E230" s="2" t="n"/>
      <c r="F230" s="6" t="n"/>
      <c r="G230" s="2" t="n"/>
      <c r="H230" s="7" t="n"/>
      <c r="I230" s="7" t="n"/>
      <c r="J230" s="7" t="n"/>
      <c r="K230" s="7" t="n"/>
      <c r="L230" s="7" t="n"/>
      <c r="M230" s="7" t="n"/>
      <c r="N230" s="7" t="n"/>
      <c r="O230" s="7">
        <f>IF(C230="","",MAX(0.05,MIN(0.95,0.20*H230+0.15*I230+0.15*J230+0.25*K230+0.10*L230+0.05*M230+0.10*N230)))</f>
        <v/>
      </c>
      <c r="P230" s="7">
        <f>IFERROR(1/F230,"")</f>
        <v/>
      </c>
      <c r="Q230" s="7">
        <f>IF(OR(O230="",P230=""),"",O230-P230)</f>
        <v/>
      </c>
      <c r="R230" s="7">
        <f>IF(OR(O230="",F230=""),"",O230*F230-1)</f>
        <v/>
      </c>
      <c r="S230" s="2">
        <f>IF(C230="","",ROUND(100*(0.20*H230+0.15*I230+0.15*J230+0.25*K230+0.10*L230+0.05*M230+0.10*N230),0))</f>
        <v/>
      </c>
      <c r="T230" s="2">
        <f>IF(C230="","",IF(OR(F230&lt;PARAMETROS!$B$12,F230&gt;PARAMETROS!$B$13,G230&lt;PARAMETROS!$B$11),"NO APTO",IF(O230&lt;IF(F230&lt;1.6,CONFIG!$B$4,IF(F230&lt;1.7,CONFIG!$B$5,IF(F230&lt;1.8,CONFIG!$B$6,IF(F230&lt;2,CONFIG!$B$7,IF(F230&lt;2.2,CONFIG!$B$8,CONFIG!$B$9))))),"NO APTO",IF(R230&lt;PARAMETROS!$B$14,"NO APTO",IF(S230&gt;=PARAMETROS!$B$10,"ALERTA FUERTE",IF(S230&gt;=PARAMETROS!$B$9,"ALERTA MEDIA","NO APTO"))))))</f>
        <v/>
      </c>
      <c r="U230" s="2">
        <f>IF(T230="","",IF(T230="NO APTO","No cumple uno o más filtros",IF(T230="ALERTA FUERTE","Probabilidad, EV, muestra y score superan filtros","Cumple filtros con confianza media")))</f>
        <v/>
      </c>
    </row>
    <row r="231">
      <c r="A231" s="2">
        <f>IF(C231="","",ROW()-1)</f>
        <v/>
      </c>
      <c r="B231" s="2" t="n"/>
      <c r="C231" s="2" t="n"/>
      <c r="D231" s="2" t="n"/>
      <c r="E231" s="2" t="n"/>
      <c r="F231" s="6" t="n"/>
      <c r="G231" s="2" t="n"/>
      <c r="H231" s="7" t="n"/>
      <c r="I231" s="7" t="n"/>
      <c r="J231" s="7" t="n"/>
      <c r="K231" s="7" t="n"/>
      <c r="L231" s="7" t="n"/>
      <c r="M231" s="7" t="n"/>
      <c r="N231" s="7" t="n"/>
      <c r="O231" s="7">
        <f>IF(C231="","",MAX(0.05,MIN(0.95,0.20*H231+0.15*I231+0.15*J231+0.25*K231+0.10*L231+0.05*M231+0.10*N231)))</f>
        <v/>
      </c>
      <c r="P231" s="7">
        <f>IFERROR(1/F231,"")</f>
        <v/>
      </c>
      <c r="Q231" s="7">
        <f>IF(OR(O231="",P231=""),"",O231-P231)</f>
        <v/>
      </c>
      <c r="R231" s="7">
        <f>IF(OR(O231="",F231=""),"",O231*F231-1)</f>
        <v/>
      </c>
      <c r="S231" s="2">
        <f>IF(C231="","",ROUND(100*(0.20*H231+0.15*I231+0.15*J231+0.25*K231+0.10*L231+0.05*M231+0.10*N231),0))</f>
        <v/>
      </c>
      <c r="T231" s="2">
        <f>IF(C231="","",IF(OR(F231&lt;PARAMETROS!$B$12,F231&gt;PARAMETROS!$B$13,G231&lt;PARAMETROS!$B$11),"NO APTO",IF(O231&lt;IF(F231&lt;1.6,CONFIG!$B$4,IF(F231&lt;1.7,CONFIG!$B$5,IF(F231&lt;1.8,CONFIG!$B$6,IF(F231&lt;2,CONFIG!$B$7,IF(F231&lt;2.2,CONFIG!$B$8,CONFIG!$B$9))))),"NO APTO",IF(R231&lt;PARAMETROS!$B$14,"NO APTO",IF(S231&gt;=PARAMETROS!$B$10,"ALERTA FUERTE",IF(S231&gt;=PARAMETROS!$B$9,"ALERTA MEDIA","NO APTO"))))))</f>
        <v/>
      </c>
      <c r="U231" s="2">
        <f>IF(T231="","",IF(T231="NO APTO","No cumple uno o más filtros",IF(T231="ALERTA FUERTE","Probabilidad, EV, muestra y score superan filtros","Cumple filtros con confianza media")))</f>
        <v/>
      </c>
    </row>
    <row r="232">
      <c r="A232" s="2">
        <f>IF(C232="","",ROW()-1)</f>
        <v/>
      </c>
      <c r="B232" s="2" t="n"/>
      <c r="C232" s="2" t="n"/>
      <c r="D232" s="2" t="n"/>
      <c r="E232" s="2" t="n"/>
      <c r="F232" s="6" t="n"/>
      <c r="G232" s="2" t="n"/>
      <c r="H232" s="7" t="n"/>
      <c r="I232" s="7" t="n"/>
      <c r="J232" s="7" t="n"/>
      <c r="K232" s="7" t="n"/>
      <c r="L232" s="7" t="n"/>
      <c r="M232" s="7" t="n"/>
      <c r="N232" s="7" t="n"/>
      <c r="O232" s="7">
        <f>IF(C232="","",MAX(0.05,MIN(0.95,0.20*H232+0.15*I232+0.15*J232+0.25*K232+0.10*L232+0.05*M232+0.10*N232)))</f>
        <v/>
      </c>
      <c r="P232" s="7">
        <f>IFERROR(1/F232,"")</f>
        <v/>
      </c>
      <c r="Q232" s="7">
        <f>IF(OR(O232="",P232=""),"",O232-P232)</f>
        <v/>
      </c>
      <c r="R232" s="7">
        <f>IF(OR(O232="",F232=""),"",O232*F232-1)</f>
        <v/>
      </c>
      <c r="S232" s="2">
        <f>IF(C232="","",ROUND(100*(0.20*H232+0.15*I232+0.15*J232+0.25*K232+0.10*L232+0.05*M232+0.10*N232),0))</f>
        <v/>
      </c>
      <c r="T232" s="2">
        <f>IF(C232="","",IF(OR(F232&lt;PARAMETROS!$B$12,F232&gt;PARAMETROS!$B$13,G232&lt;PARAMETROS!$B$11),"NO APTO",IF(O232&lt;IF(F232&lt;1.6,CONFIG!$B$4,IF(F232&lt;1.7,CONFIG!$B$5,IF(F232&lt;1.8,CONFIG!$B$6,IF(F232&lt;2,CONFIG!$B$7,IF(F232&lt;2.2,CONFIG!$B$8,CONFIG!$B$9))))),"NO APTO",IF(R232&lt;PARAMETROS!$B$14,"NO APTO",IF(S232&gt;=PARAMETROS!$B$10,"ALERTA FUERTE",IF(S232&gt;=PARAMETROS!$B$9,"ALERTA MEDIA","NO APTO"))))))</f>
        <v/>
      </c>
      <c r="U232" s="2">
        <f>IF(T232="","",IF(T232="NO APTO","No cumple uno o más filtros",IF(T232="ALERTA FUERTE","Probabilidad, EV, muestra y score superan filtros","Cumple filtros con confianza media")))</f>
        <v/>
      </c>
    </row>
    <row r="233">
      <c r="A233" s="2">
        <f>IF(C233="","",ROW()-1)</f>
        <v/>
      </c>
      <c r="B233" s="2" t="n"/>
      <c r="C233" s="2" t="n"/>
      <c r="D233" s="2" t="n"/>
      <c r="E233" s="2" t="n"/>
      <c r="F233" s="6" t="n"/>
      <c r="G233" s="2" t="n"/>
      <c r="H233" s="7" t="n"/>
      <c r="I233" s="7" t="n"/>
      <c r="J233" s="7" t="n"/>
      <c r="K233" s="7" t="n"/>
      <c r="L233" s="7" t="n"/>
      <c r="M233" s="7" t="n"/>
      <c r="N233" s="7" t="n"/>
      <c r="O233" s="7">
        <f>IF(C233="","",MAX(0.05,MIN(0.95,0.20*H233+0.15*I233+0.15*J233+0.25*K233+0.10*L233+0.05*M233+0.10*N233)))</f>
        <v/>
      </c>
      <c r="P233" s="7">
        <f>IFERROR(1/F233,"")</f>
        <v/>
      </c>
      <c r="Q233" s="7">
        <f>IF(OR(O233="",P233=""),"",O233-P233)</f>
        <v/>
      </c>
      <c r="R233" s="7">
        <f>IF(OR(O233="",F233=""),"",O233*F233-1)</f>
        <v/>
      </c>
      <c r="S233" s="2">
        <f>IF(C233="","",ROUND(100*(0.20*H233+0.15*I233+0.15*J233+0.25*K233+0.10*L233+0.05*M233+0.10*N233),0))</f>
        <v/>
      </c>
      <c r="T233" s="2">
        <f>IF(C233="","",IF(OR(F233&lt;PARAMETROS!$B$12,F233&gt;PARAMETROS!$B$13,G233&lt;PARAMETROS!$B$11),"NO APTO",IF(O233&lt;IF(F233&lt;1.6,CONFIG!$B$4,IF(F233&lt;1.7,CONFIG!$B$5,IF(F233&lt;1.8,CONFIG!$B$6,IF(F233&lt;2,CONFIG!$B$7,IF(F233&lt;2.2,CONFIG!$B$8,CONFIG!$B$9))))),"NO APTO",IF(R233&lt;PARAMETROS!$B$14,"NO APTO",IF(S233&gt;=PARAMETROS!$B$10,"ALERTA FUERTE",IF(S233&gt;=PARAMETROS!$B$9,"ALERTA MEDIA","NO APTO"))))))</f>
        <v/>
      </c>
      <c r="U233" s="2">
        <f>IF(T233="","",IF(T233="NO APTO","No cumple uno o más filtros",IF(T233="ALERTA FUERTE","Probabilidad, EV, muestra y score superan filtros","Cumple filtros con confianza media")))</f>
        <v/>
      </c>
    </row>
    <row r="234">
      <c r="A234" s="2">
        <f>IF(C234="","",ROW()-1)</f>
        <v/>
      </c>
      <c r="B234" s="2" t="n"/>
      <c r="C234" s="2" t="n"/>
      <c r="D234" s="2" t="n"/>
      <c r="E234" s="2" t="n"/>
      <c r="F234" s="6" t="n"/>
      <c r="G234" s="2" t="n"/>
      <c r="H234" s="7" t="n"/>
      <c r="I234" s="7" t="n"/>
      <c r="J234" s="7" t="n"/>
      <c r="K234" s="7" t="n"/>
      <c r="L234" s="7" t="n"/>
      <c r="M234" s="7" t="n"/>
      <c r="N234" s="7" t="n"/>
      <c r="O234" s="7">
        <f>IF(C234="","",MAX(0.05,MIN(0.95,0.20*H234+0.15*I234+0.15*J234+0.25*K234+0.10*L234+0.05*M234+0.10*N234)))</f>
        <v/>
      </c>
      <c r="P234" s="7">
        <f>IFERROR(1/F234,"")</f>
        <v/>
      </c>
      <c r="Q234" s="7">
        <f>IF(OR(O234="",P234=""),"",O234-P234)</f>
        <v/>
      </c>
      <c r="R234" s="7">
        <f>IF(OR(O234="",F234=""),"",O234*F234-1)</f>
        <v/>
      </c>
      <c r="S234" s="2">
        <f>IF(C234="","",ROUND(100*(0.20*H234+0.15*I234+0.15*J234+0.25*K234+0.10*L234+0.05*M234+0.10*N234),0))</f>
        <v/>
      </c>
      <c r="T234" s="2">
        <f>IF(C234="","",IF(OR(F234&lt;PARAMETROS!$B$12,F234&gt;PARAMETROS!$B$13,G234&lt;PARAMETROS!$B$11),"NO APTO",IF(O234&lt;IF(F234&lt;1.6,CONFIG!$B$4,IF(F234&lt;1.7,CONFIG!$B$5,IF(F234&lt;1.8,CONFIG!$B$6,IF(F234&lt;2,CONFIG!$B$7,IF(F234&lt;2.2,CONFIG!$B$8,CONFIG!$B$9))))),"NO APTO",IF(R234&lt;PARAMETROS!$B$14,"NO APTO",IF(S234&gt;=PARAMETROS!$B$10,"ALERTA FUERTE",IF(S234&gt;=PARAMETROS!$B$9,"ALERTA MEDIA","NO APTO"))))))</f>
        <v/>
      </c>
      <c r="U234" s="2">
        <f>IF(T234="","",IF(T234="NO APTO","No cumple uno o más filtros",IF(T234="ALERTA FUERTE","Probabilidad, EV, muestra y score superan filtros","Cumple filtros con confianza media")))</f>
        <v/>
      </c>
    </row>
    <row r="235">
      <c r="A235" s="2">
        <f>IF(C235="","",ROW()-1)</f>
        <v/>
      </c>
      <c r="B235" s="2" t="n"/>
      <c r="C235" s="2" t="n"/>
      <c r="D235" s="2" t="n"/>
      <c r="E235" s="2" t="n"/>
      <c r="F235" s="6" t="n"/>
      <c r="G235" s="2" t="n"/>
      <c r="H235" s="7" t="n"/>
      <c r="I235" s="7" t="n"/>
      <c r="J235" s="7" t="n"/>
      <c r="K235" s="7" t="n"/>
      <c r="L235" s="7" t="n"/>
      <c r="M235" s="7" t="n"/>
      <c r="N235" s="7" t="n"/>
      <c r="O235" s="7">
        <f>IF(C235="","",MAX(0.05,MIN(0.95,0.20*H235+0.15*I235+0.15*J235+0.25*K235+0.10*L235+0.05*M235+0.10*N235)))</f>
        <v/>
      </c>
      <c r="P235" s="7">
        <f>IFERROR(1/F235,"")</f>
        <v/>
      </c>
      <c r="Q235" s="7">
        <f>IF(OR(O235="",P235=""),"",O235-P235)</f>
        <v/>
      </c>
      <c r="R235" s="7">
        <f>IF(OR(O235="",F235=""),"",O235*F235-1)</f>
        <v/>
      </c>
      <c r="S235" s="2">
        <f>IF(C235="","",ROUND(100*(0.20*H235+0.15*I235+0.15*J235+0.25*K235+0.10*L235+0.05*M235+0.10*N235),0))</f>
        <v/>
      </c>
      <c r="T235" s="2">
        <f>IF(C235="","",IF(OR(F235&lt;PARAMETROS!$B$12,F235&gt;PARAMETROS!$B$13,G235&lt;PARAMETROS!$B$11),"NO APTO",IF(O235&lt;IF(F235&lt;1.6,CONFIG!$B$4,IF(F235&lt;1.7,CONFIG!$B$5,IF(F235&lt;1.8,CONFIG!$B$6,IF(F235&lt;2,CONFIG!$B$7,IF(F235&lt;2.2,CONFIG!$B$8,CONFIG!$B$9))))),"NO APTO",IF(R235&lt;PARAMETROS!$B$14,"NO APTO",IF(S235&gt;=PARAMETROS!$B$10,"ALERTA FUERTE",IF(S235&gt;=PARAMETROS!$B$9,"ALERTA MEDIA","NO APTO"))))))</f>
        <v/>
      </c>
      <c r="U235" s="2">
        <f>IF(T235="","",IF(T235="NO APTO","No cumple uno o más filtros",IF(T235="ALERTA FUERTE","Probabilidad, EV, muestra y score superan filtros","Cumple filtros con confianza media")))</f>
        <v/>
      </c>
    </row>
    <row r="236">
      <c r="A236" s="2">
        <f>IF(C236="","",ROW()-1)</f>
        <v/>
      </c>
      <c r="B236" s="2" t="n"/>
      <c r="C236" s="2" t="n"/>
      <c r="D236" s="2" t="n"/>
      <c r="E236" s="2" t="n"/>
      <c r="F236" s="6" t="n"/>
      <c r="G236" s="2" t="n"/>
      <c r="H236" s="7" t="n"/>
      <c r="I236" s="7" t="n"/>
      <c r="J236" s="7" t="n"/>
      <c r="K236" s="7" t="n"/>
      <c r="L236" s="7" t="n"/>
      <c r="M236" s="7" t="n"/>
      <c r="N236" s="7" t="n"/>
      <c r="O236" s="7">
        <f>IF(C236="","",MAX(0.05,MIN(0.95,0.20*H236+0.15*I236+0.15*J236+0.25*K236+0.10*L236+0.05*M236+0.10*N236)))</f>
        <v/>
      </c>
      <c r="P236" s="7">
        <f>IFERROR(1/F236,"")</f>
        <v/>
      </c>
      <c r="Q236" s="7">
        <f>IF(OR(O236="",P236=""),"",O236-P236)</f>
        <v/>
      </c>
      <c r="R236" s="7">
        <f>IF(OR(O236="",F236=""),"",O236*F236-1)</f>
        <v/>
      </c>
      <c r="S236" s="2">
        <f>IF(C236="","",ROUND(100*(0.20*H236+0.15*I236+0.15*J236+0.25*K236+0.10*L236+0.05*M236+0.10*N236),0))</f>
        <v/>
      </c>
      <c r="T236" s="2">
        <f>IF(C236="","",IF(OR(F236&lt;PARAMETROS!$B$12,F236&gt;PARAMETROS!$B$13,G236&lt;PARAMETROS!$B$11),"NO APTO",IF(O236&lt;IF(F236&lt;1.6,CONFIG!$B$4,IF(F236&lt;1.7,CONFIG!$B$5,IF(F236&lt;1.8,CONFIG!$B$6,IF(F236&lt;2,CONFIG!$B$7,IF(F236&lt;2.2,CONFIG!$B$8,CONFIG!$B$9))))),"NO APTO",IF(R236&lt;PARAMETROS!$B$14,"NO APTO",IF(S236&gt;=PARAMETROS!$B$10,"ALERTA FUERTE",IF(S236&gt;=PARAMETROS!$B$9,"ALERTA MEDIA","NO APTO"))))))</f>
        <v/>
      </c>
      <c r="U236" s="2">
        <f>IF(T236="","",IF(T236="NO APTO","No cumple uno o más filtros",IF(T236="ALERTA FUERTE","Probabilidad, EV, muestra y score superan filtros","Cumple filtros con confianza media")))</f>
        <v/>
      </c>
    </row>
    <row r="237">
      <c r="A237" s="2">
        <f>IF(C237="","",ROW()-1)</f>
        <v/>
      </c>
      <c r="B237" s="2" t="n"/>
      <c r="C237" s="2" t="n"/>
      <c r="D237" s="2" t="n"/>
      <c r="E237" s="2" t="n"/>
      <c r="F237" s="6" t="n"/>
      <c r="G237" s="2" t="n"/>
      <c r="H237" s="7" t="n"/>
      <c r="I237" s="7" t="n"/>
      <c r="J237" s="7" t="n"/>
      <c r="K237" s="7" t="n"/>
      <c r="L237" s="7" t="n"/>
      <c r="M237" s="7" t="n"/>
      <c r="N237" s="7" t="n"/>
      <c r="O237" s="7">
        <f>IF(C237="","",MAX(0.05,MIN(0.95,0.20*H237+0.15*I237+0.15*J237+0.25*K237+0.10*L237+0.05*M237+0.10*N237)))</f>
        <v/>
      </c>
      <c r="P237" s="7">
        <f>IFERROR(1/F237,"")</f>
        <v/>
      </c>
      <c r="Q237" s="7">
        <f>IF(OR(O237="",P237=""),"",O237-P237)</f>
        <v/>
      </c>
      <c r="R237" s="7">
        <f>IF(OR(O237="",F237=""),"",O237*F237-1)</f>
        <v/>
      </c>
      <c r="S237" s="2">
        <f>IF(C237="","",ROUND(100*(0.20*H237+0.15*I237+0.15*J237+0.25*K237+0.10*L237+0.05*M237+0.10*N237),0))</f>
        <v/>
      </c>
      <c r="T237" s="2">
        <f>IF(C237="","",IF(OR(F237&lt;PARAMETROS!$B$12,F237&gt;PARAMETROS!$B$13,G237&lt;PARAMETROS!$B$11),"NO APTO",IF(O237&lt;IF(F237&lt;1.6,CONFIG!$B$4,IF(F237&lt;1.7,CONFIG!$B$5,IF(F237&lt;1.8,CONFIG!$B$6,IF(F237&lt;2,CONFIG!$B$7,IF(F237&lt;2.2,CONFIG!$B$8,CONFIG!$B$9))))),"NO APTO",IF(R237&lt;PARAMETROS!$B$14,"NO APTO",IF(S237&gt;=PARAMETROS!$B$10,"ALERTA FUERTE",IF(S237&gt;=PARAMETROS!$B$9,"ALERTA MEDIA","NO APTO"))))))</f>
        <v/>
      </c>
      <c r="U237" s="2">
        <f>IF(T237="","",IF(T237="NO APTO","No cumple uno o más filtros",IF(T237="ALERTA FUERTE","Probabilidad, EV, muestra y score superan filtros","Cumple filtros con confianza media")))</f>
        <v/>
      </c>
    </row>
    <row r="238">
      <c r="A238" s="2">
        <f>IF(C238="","",ROW()-1)</f>
        <v/>
      </c>
      <c r="B238" s="2" t="n"/>
      <c r="C238" s="2" t="n"/>
      <c r="D238" s="2" t="n"/>
      <c r="E238" s="2" t="n"/>
      <c r="F238" s="6" t="n"/>
      <c r="G238" s="2" t="n"/>
      <c r="H238" s="7" t="n"/>
      <c r="I238" s="7" t="n"/>
      <c r="J238" s="7" t="n"/>
      <c r="K238" s="7" t="n"/>
      <c r="L238" s="7" t="n"/>
      <c r="M238" s="7" t="n"/>
      <c r="N238" s="7" t="n"/>
      <c r="O238" s="7">
        <f>IF(C238="","",MAX(0.05,MIN(0.95,0.20*H238+0.15*I238+0.15*J238+0.25*K238+0.10*L238+0.05*M238+0.10*N238)))</f>
        <v/>
      </c>
      <c r="P238" s="7">
        <f>IFERROR(1/F238,"")</f>
        <v/>
      </c>
      <c r="Q238" s="7">
        <f>IF(OR(O238="",P238=""),"",O238-P238)</f>
        <v/>
      </c>
      <c r="R238" s="7">
        <f>IF(OR(O238="",F238=""),"",O238*F238-1)</f>
        <v/>
      </c>
      <c r="S238" s="2">
        <f>IF(C238="","",ROUND(100*(0.20*H238+0.15*I238+0.15*J238+0.25*K238+0.10*L238+0.05*M238+0.10*N238),0))</f>
        <v/>
      </c>
      <c r="T238" s="2">
        <f>IF(C238="","",IF(OR(F238&lt;PARAMETROS!$B$12,F238&gt;PARAMETROS!$B$13,G238&lt;PARAMETROS!$B$11),"NO APTO",IF(O238&lt;IF(F238&lt;1.6,CONFIG!$B$4,IF(F238&lt;1.7,CONFIG!$B$5,IF(F238&lt;1.8,CONFIG!$B$6,IF(F238&lt;2,CONFIG!$B$7,IF(F238&lt;2.2,CONFIG!$B$8,CONFIG!$B$9))))),"NO APTO",IF(R238&lt;PARAMETROS!$B$14,"NO APTO",IF(S238&gt;=PARAMETROS!$B$10,"ALERTA FUERTE",IF(S238&gt;=PARAMETROS!$B$9,"ALERTA MEDIA","NO APTO"))))))</f>
        <v/>
      </c>
      <c r="U238" s="2">
        <f>IF(T238="","",IF(T238="NO APTO","No cumple uno o más filtros",IF(T238="ALERTA FUERTE","Probabilidad, EV, muestra y score superan filtros","Cumple filtros con confianza media")))</f>
        <v/>
      </c>
    </row>
    <row r="239">
      <c r="A239" s="2">
        <f>IF(C239="","",ROW()-1)</f>
        <v/>
      </c>
      <c r="B239" s="2" t="n"/>
      <c r="C239" s="2" t="n"/>
      <c r="D239" s="2" t="n"/>
      <c r="E239" s="2" t="n"/>
      <c r="F239" s="6" t="n"/>
      <c r="G239" s="2" t="n"/>
      <c r="H239" s="7" t="n"/>
      <c r="I239" s="7" t="n"/>
      <c r="J239" s="7" t="n"/>
      <c r="K239" s="7" t="n"/>
      <c r="L239" s="7" t="n"/>
      <c r="M239" s="7" t="n"/>
      <c r="N239" s="7" t="n"/>
      <c r="O239" s="7">
        <f>IF(C239="","",MAX(0.05,MIN(0.95,0.20*H239+0.15*I239+0.15*J239+0.25*K239+0.10*L239+0.05*M239+0.10*N239)))</f>
        <v/>
      </c>
      <c r="P239" s="7">
        <f>IFERROR(1/F239,"")</f>
        <v/>
      </c>
      <c r="Q239" s="7">
        <f>IF(OR(O239="",P239=""),"",O239-P239)</f>
        <v/>
      </c>
      <c r="R239" s="7">
        <f>IF(OR(O239="",F239=""),"",O239*F239-1)</f>
        <v/>
      </c>
      <c r="S239" s="2">
        <f>IF(C239="","",ROUND(100*(0.20*H239+0.15*I239+0.15*J239+0.25*K239+0.10*L239+0.05*M239+0.10*N239),0))</f>
        <v/>
      </c>
      <c r="T239" s="2">
        <f>IF(C239="","",IF(OR(F239&lt;PARAMETROS!$B$12,F239&gt;PARAMETROS!$B$13,G239&lt;PARAMETROS!$B$11),"NO APTO",IF(O239&lt;IF(F239&lt;1.6,CONFIG!$B$4,IF(F239&lt;1.7,CONFIG!$B$5,IF(F239&lt;1.8,CONFIG!$B$6,IF(F239&lt;2,CONFIG!$B$7,IF(F239&lt;2.2,CONFIG!$B$8,CONFIG!$B$9))))),"NO APTO",IF(R239&lt;PARAMETROS!$B$14,"NO APTO",IF(S239&gt;=PARAMETROS!$B$10,"ALERTA FUERTE",IF(S239&gt;=PARAMETROS!$B$9,"ALERTA MEDIA","NO APTO"))))))</f>
        <v/>
      </c>
      <c r="U239" s="2">
        <f>IF(T239="","",IF(T239="NO APTO","No cumple uno o más filtros",IF(T239="ALERTA FUERTE","Probabilidad, EV, muestra y score superan filtros","Cumple filtros con confianza media")))</f>
        <v/>
      </c>
    </row>
    <row r="240">
      <c r="A240" s="2">
        <f>IF(C240="","",ROW()-1)</f>
        <v/>
      </c>
      <c r="B240" s="2" t="n"/>
      <c r="C240" s="2" t="n"/>
      <c r="D240" s="2" t="n"/>
      <c r="E240" s="2" t="n"/>
      <c r="F240" s="6" t="n"/>
      <c r="G240" s="2" t="n"/>
      <c r="H240" s="7" t="n"/>
      <c r="I240" s="7" t="n"/>
      <c r="J240" s="7" t="n"/>
      <c r="K240" s="7" t="n"/>
      <c r="L240" s="7" t="n"/>
      <c r="M240" s="7" t="n"/>
      <c r="N240" s="7" t="n"/>
      <c r="O240" s="7">
        <f>IF(C240="","",MAX(0.05,MIN(0.95,0.20*H240+0.15*I240+0.15*J240+0.25*K240+0.10*L240+0.05*M240+0.10*N240)))</f>
        <v/>
      </c>
      <c r="P240" s="7">
        <f>IFERROR(1/F240,"")</f>
        <v/>
      </c>
      <c r="Q240" s="7">
        <f>IF(OR(O240="",P240=""),"",O240-P240)</f>
        <v/>
      </c>
      <c r="R240" s="7">
        <f>IF(OR(O240="",F240=""),"",O240*F240-1)</f>
        <v/>
      </c>
      <c r="S240" s="2">
        <f>IF(C240="","",ROUND(100*(0.20*H240+0.15*I240+0.15*J240+0.25*K240+0.10*L240+0.05*M240+0.10*N240),0))</f>
        <v/>
      </c>
      <c r="T240" s="2">
        <f>IF(C240="","",IF(OR(F240&lt;PARAMETROS!$B$12,F240&gt;PARAMETROS!$B$13,G240&lt;PARAMETROS!$B$11),"NO APTO",IF(O240&lt;IF(F240&lt;1.6,CONFIG!$B$4,IF(F240&lt;1.7,CONFIG!$B$5,IF(F240&lt;1.8,CONFIG!$B$6,IF(F240&lt;2,CONFIG!$B$7,IF(F240&lt;2.2,CONFIG!$B$8,CONFIG!$B$9))))),"NO APTO",IF(R240&lt;PARAMETROS!$B$14,"NO APTO",IF(S240&gt;=PARAMETROS!$B$10,"ALERTA FUERTE",IF(S240&gt;=PARAMETROS!$B$9,"ALERTA MEDIA","NO APTO"))))))</f>
        <v/>
      </c>
      <c r="U240" s="2">
        <f>IF(T240="","",IF(T240="NO APTO","No cumple uno o más filtros",IF(T240="ALERTA FUERTE","Probabilidad, EV, muestra y score superan filtros","Cumple filtros con confianza media")))</f>
        <v/>
      </c>
    </row>
    <row r="241">
      <c r="A241" s="2">
        <f>IF(C241="","",ROW()-1)</f>
        <v/>
      </c>
      <c r="B241" s="2" t="n"/>
      <c r="C241" s="2" t="n"/>
      <c r="D241" s="2" t="n"/>
      <c r="E241" s="2" t="n"/>
      <c r="F241" s="6" t="n"/>
      <c r="G241" s="2" t="n"/>
      <c r="H241" s="7" t="n"/>
      <c r="I241" s="7" t="n"/>
      <c r="J241" s="7" t="n"/>
      <c r="K241" s="7" t="n"/>
      <c r="L241" s="7" t="n"/>
      <c r="M241" s="7" t="n"/>
      <c r="N241" s="7" t="n"/>
      <c r="O241" s="7">
        <f>IF(C241="","",MAX(0.05,MIN(0.95,0.20*H241+0.15*I241+0.15*J241+0.25*K241+0.10*L241+0.05*M241+0.10*N241)))</f>
        <v/>
      </c>
      <c r="P241" s="7">
        <f>IFERROR(1/F241,"")</f>
        <v/>
      </c>
      <c r="Q241" s="7">
        <f>IF(OR(O241="",P241=""),"",O241-P241)</f>
        <v/>
      </c>
      <c r="R241" s="7">
        <f>IF(OR(O241="",F241=""),"",O241*F241-1)</f>
        <v/>
      </c>
      <c r="S241" s="2">
        <f>IF(C241="","",ROUND(100*(0.20*H241+0.15*I241+0.15*J241+0.25*K241+0.10*L241+0.05*M241+0.10*N241),0))</f>
        <v/>
      </c>
      <c r="T241" s="2">
        <f>IF(C241="","",IF(OR(F241&lt;PARAMETROS!$B$12,F241&gt;PARAMETROS!$B$13,G241&lt;PARAMETROS!$B$11),"NO APTO",IF(O241&lt;IF(F241&lt;1.6,CONFIG!$B$4,IF(F241&lt;1.7,CONFIG!$B$5,IF(F241&lt;1.8,CONFIG!$B$6,IF(F241&lt;2,CONFIG!$B$7,IF(F241&lt;2.2,CONFIG!$B$8,CONFIG!$B$9))))),"NO APTO",IF(R241&lt;PARAMETROS!$B$14,"NO APTO",IF(S241&gt;=PARAMETROS!$B$10,"ALERTA FUERTE",IF(S241&gt;=PARAMETROS!$B$9,"ALERTA MEDIA","NO APTO"))))))</f>
        <v/>
      </c>
      <c r="U241" s="2">
        <f>IF(T241="","",IF(T241="NO APTO","No cumple uno o más filtros",IF(T241="ALERTA FUERTE","Probabilidad, EV, muestra y score superan filtros","Cumple filtros con confianza media")))</f>
        <v/>
      </c>
    </row>
    <row r="242">
      <c r="A242" s="2">
        <f>IF(C242="","",ROW()-1)</f>
        <v/>
      </c>
      <c r="B242" s="2" t="n"/>
      <c r="C242" s="2" t="n"/>
      <c r="D242" s="2" t="n"/>
      <c r="E242" s="2" t="n"/>
      <c r="F242" s="6" t="n"/>
      <c r="G242" s="2" t="n"/>
      <c r="H242" s="7" t="n"/>
      <c r="I242" s="7" t="n"/>
      <c r="J242" s="7" t="n"/>
      <c r="K242" s="7" t="n"/>
      <c r="L242" s="7" t="n"/>
      <c r="M242" s="7" t="n"/>
      <c r="N242" s="7" t="n"/>
      <c r="O242" s="7">
        <f>IF(C242="","",MAX(0.05,MIN(0.95,0.20*H242+0.15*I242+0.15*J242+0.25*K242+0.10*L242+0.05*M242+0.10*N242)))</f>
        <v/>
      </c>
      <c r="P242" s="7">
        <f>IFERROR(1/F242,"")</f>
        <v/>
      </c>
      <c r="Q242" s="7">
        <f>IF(OR(O242="",P242=""),"",O242-P242)</f>
        <v/>
      </c>
      <c r="R242" s="7">
        <f>IF(OR(O242="",F242=""),"",O242*F242-1)</f>
        <v/>
      </c>
      <c r="S242" s="2">
        <f>IF(C242="","",ROUND(100*(0.20*H242+0.15*I242+0.15*J242+0.25*K242+0.10*L242+0.05*M242+0.10*N242),0))</f>
        <v/>
      </c>
      <c r="T242" s="2">
        <f>IF(C242="","",IF(OR(F242&lt;PARAMETROS!$B$12,F242&gt;PARAMETROS!$B$13,G242&lt;PARAMETROS!$B$11),"NO APTO",IF(O242&lt;IF(F242&lt;1.6,CONFIG!$B$4,IF(F242&lt;1.7,CONFIG!$B$5,IF(F242&lt;1.8,CONFIG!$B$6,IF(F242&lt;2,CONFIG!$B$7,IF(F242&lt;2.2,CONFIG!$B$8,CONFIG!$B$9))))),"NO APTO",IF(R242&lt;PARAMETROS!$B$14,"NO APTO",IF(S242&gt;=PARAMETROS!$B$10,"ALERTA FUERTE",IF(S242&gt;=PARAMETROS!$B$9,"ALERTA MEDIA","NO APTO"))))))</f>
        <v/>
      </c>
      <c r="U242" s="2">
        <f>IF(T242="","",IF(T242="NO APTO","No cumple uno o más filtros",IF(T242="ALERTA FUERTE","Probabilidad, EV, muestra y score superan filtros","Cumple filtros con confianza media")))</f>
        <v/>
      </c>
    </row>
    <row r="243">
      <c r="A243" s="2">
        <f>IF(C243="","",ROW()-1)</f>
        <v/>
      </c>
      <c r="B243" s="2" t="n"/>
      <c r="C243" s="2" t="n"/>
      <c r="D243" s="2" t="n"/>
      <c r="E243" s="2" t="n"/>
      <c r="F243" s="6" t="n"/>
      <c r="G243" s="2" t="n"/>
      <c r="H243" s="7" t="n"/>
      <c r="I243" s="7" t="n"/>
      <c r="J243" s="7" t="n"/>
      <c r="K243" s="7" t="n"/>
      <c r="L243" s="7" t="n"/>
      <c r="M243" s="7" t="n"/>
      <c r="N243" s="7" t="n"/>
      <c r="O243" s="7">
        <f>IF(C243="","",MAX(0.05,MIN(0.95,0.20*H243+0.15*I243+0.15*J243+0.25*K243+0.10*L243+0.05*M243+0.10*N243)))</f>
        <v/>
      </c>
      <c r="P243" s="7">
        <f>IFERROR(1/F243,"")</f>
        <v/>
      </c>
      <c r="Q243" s="7">
        <f>IF(OR(O243="",P243=""),"",O243-P243)</f>
        <v/>
      </c>
      <c r="R243" s="7">
        <f>IF(OR(O243="",F243=""),"",O243*F243-1)</f>
        <v/>
      </c>
      <c r="S243" s="2">
        <f>IF(C243="","",ROUND(100*(0.20*H243+0.15*I243+0.15*J243+0.25*K243+0.10*L243+0.05*M243+0.10*N243),0))</f>
        <v/>
      </c>
      <c r="T243" s="2">
        <f>IF(C243="","",IF(OR(F243&lt;PARAMETROS!$B$12,F243&gt;PARAMETROS!$B$13,G243&lt;PARAMETROS!$B$11),"NO APTO",IF(O243&lt;IF(F243&lt;1.6,CONFIG!$B$4,IF(F243&lt;1.7,CONFIG!$B$5,IF(F243&lt;1.8,CONFIG!$B$6,IF(F243&lt;2,CONFIG!$B$7,IF(F243&lt;2.2,CONFIG!$B$8,CONFIG!$B$9))))),"NO APTO",IF(R243&lt;PARAMETROS!$B$14,"NO APTO",IF(S243&gt;=PARAMETROS!$B$10,"ALERTA FUERTE",IF(S243&gt;=PARAMETROS!$B$9,"ALERTA MEDIA","NO APTO"))))))</f>
        <v/>
      </c>
      <c r="U243" s="2">
        <f>IF(T243="","",IF(T243="NO APTO","No cumple uno o más filtros",IF(T243="ALERTA FUERTE","Probabilidad, EV, muestra y score superan filtros","Cumple filtros con confianza media")))</f>
        <v/>
      </c>
    </row>
    <row r="244">
      <c r="A244" s="2">
        <f>IF(C244="","",ROW()-1)</f>
        <v/>
      </c>
      <c r="B244" s="2" t="n"/>
      <c r="C244" s="2" t="n"/>
      <c r="D244" s="2" t="n"/>
      <c r="E244" s="2" t="n"/>
      <c r="F244" s="6" t="n"/>
      <c r="G244" s="2" t="n"/>
      <c r="H244" s="7" t="n"/>
      <c r="I244" s="7" t="n"/>
      <c r="J244" s="7" t="n"/>
      <c r="K244" s="7" t="n"/>
      <c r="L244" s="7" t="n"/>
      <c r="M244" s="7" t="n"/>
      <c r="N244" s="7" t="n"/>
      <c r="O244" s="7">
        <f>IF(C244="","",MAX(0.05,MIN(0.95,0.20*H244+0.15*I244+0.15*J244+0.25*K244+0.10*L244+0.05*M244+0.10*N244)))</f>
        <v/>
      </c>
      <c r="P244" s="7">
        <f>IFERROR(1/F244,"")</f>
        <v/>
      </c>
      <c r="Q244" s="7">
        <f>IF(OR(O244="",P244=""),"",O244-P244)</f>
        <v/>
      </c>
      <c r="R244" s="7">
        <f>IF(OR(O244="",F244=""),"",O244*F244-1)</f>
        <v/>
      </c>
      <c r="S244" s="2">
        <f>IF(C244="","",ROUND(100*(0.20*H244+0.15*I244+0.15*J244+0.25*K244+0.10*L244+0.05*M244+0.10*N244),0))</f>
        <v/>
      </c>
      <c r="T244" s="2">
        <f>IF(C244="","",IF(OR(F244&lt;PARAMETROS!$B$12,F244&gt;PARAMETROS!$B$13,G244&lt;PARAMETROS!$B$11),"NO APTO",IF(O244&lt;IF(F244&lt;1.6,CONFIG!$B$4,IF(F244&lt;1.7,CONFIG!$B$5,IF(F244&lt;1.8,CONFIG!$B$6,IF(F244&lt;2,CONFIG!$B$7,IF(F244&lt;2.2,CONFIG!$B$8,CONFIG!$B$9))))),"NO APTO",IF(R244&lt;PARAMETROS!$B$14,"NO APTO",IF(S244&gt;=PARAMETROS!$B$10,"ALERTA FUERTE",IF(S244&gt;=PARAMETROS!$B$9,"ALERTA MEDIA","NO APTO"))))))</f>
        <v/>
      </c>
      <c r="U244" s="2">
        <f>IF(T244="","",IF(T244="NO APTO","No cumple uno o más filtros",IF(T244="ALERTA FUERTE","Probabilidad, EV, muestra y score superan filtros","Cumple filtros con confianza media")))</f>
        <v/>
      </c>
    </row>
    <row r="245">
      <c r="A245" s="2">
        <f>IF(C245="","",ROW()-1)</f>
        <v/>
      </c>
      <c r="B245" s="2" t="n"/>
      <c r="C245" s="2" t="n"/>
      <c r="D245" s="2" t="n"/>
      <c r="E245" s="2" t="n"/>
      <c r="F245" s="6" t="n"/>
      <c r="G245" s="2" t="n"/>
      <c r="H245" s="7" t="n"/>
      <c r="I245" s="7" t="n"/>
      <c r="J245" s="7" t="n"/>
      <c r="K245" s="7" t="n"/>
      <c r="L245" s="7" t="n"/>
      <c r="M245" s="7" t="n"/>
      <c r="N245" s="7" t="n"/>
      <c r="O245" s="7">
        <f>IF(C245="","",MAX(0.05,MIN(0.95,0.20*H245+0.15*I245+0.15*J245+0.25*K245+0.10*L245+0.05*M245+0.10*N245)))</f>
        <v/>
      </c>
      <c r="P245" s="7">
        <f>IFERROR(1/F245,"")</f>
        <v/>
      </c>
      <c r="Q245" s="7">
        <f>IF(OR(O245="",P245=""),"",O245-P245)</f>
        <v/>
      </c>
      <c r="R245" s="7">
        <f>IF(OR(O245="",F245=""),"",O245*F245-1)</f>
        <v/>
      </c>
      <c r="S245" s="2">
        <f>IF(C245="","",ROUND(100*(0.20*H245+0.15*I245+0.15*J245+0.25*K245+0.10*L245+0.05*M245+0.10*N245),0))</f>
        <v/>
      </c>
      <c r="T245" s="2">
        <f>IF(C245="","",IF(OR(F245&lt;PARAMETROS!$B$12,F245&gt;PARAMETROS!$B$13,G245&lt;PARAMETROS!$B$11),"NO APTO",IF(O245&lt;IF(F245&lt;1.6,CONFIG!$B$4,IF(F245&lt;1.7,CONFIG!$B$5,IF(F245&lt;1.8,CONFIG!$B$6,IF(F245&lt;2,CONFIG!$B$7,IF(F245&lt;2.2,CONFIG!$B$8,CONFIG!$B$9))))),"NO APTO",IF(R245&lt;PARAMETROS!$B$14,"NO APTO",IF(S245&gt;=PARAMETROS!$B$10,"ALERTA FUERTE",IF(S245&gt;=PARAMETROS!$B$9,"ALERTA MEDIA","NO APTO"))))))</f>
        <v/>
      </c>
      <c r="U245" s="2">
        <f>IF(T245="","",IF(T245="NO APTO","No cumple uno o más filtros",IF(T245="ALERTA FUERTE","Probabilidad, EV, muestra y score superan filtros","Cumple filtros con confianza media")))</f>
        <v/>
      </c>
    </row>
    <row r="246">
      <c r="A246" s="2">
        <f>IF(C246="","",ROW()-1)</f>
        <v/>
      </c>
      <c r="B246" s="2" t="n"/>
      <c r="C246" s="2" t="n"/>
      <c r="D246" s="2" t="n"/>
      <c r="E246" s="2" t="n"/>
      <c r="F246" s="6" t="n"/>
      <c r="G246" s="2" t="n"/>
      <c r="H246" s="7" t="n"/>
      <c r="I246" s="7" t="n"/>
      <c r="J246" s="7" t="n"/>
      <c r="K246" s="7" t="n"/>
      <c r="L246" s="7" t="n"/>
      <c r="M246" s="7" t="n"/>
      <c r="N246" s="7" t="n"/>
      <c r="O246" s="7">
        <f>IF(C246="","",MAX(0.05,MIN(0.95,0.20*H246+0.15*I246+0.15*J246+0.25*K246+0.10*L246+0.05*M246+0.10*N246)))</f>
        <v/>
      </c>
      <c r="P246" s="7">
        <f>IFERROR(1/F246,"")</f>
        <v/>
      </c>
      <c r="Q246" s="7">
        <f>IF(OR(O246="",P246=""),"",O246-P246)</f>
        <v/>
      </c>
      <c r="R246" s="7">
        <f>IF(OR(O246="",F246=""),"",O246*F246-1)</f>
        <v/>
      </c>
      <c r="S246" s="2">
        <f>IF(C246="","",ROUND(100*(0.20*H246+0.15*I246+0.15*J246+0.25*K246+0.10*L246+0.05*M246+0.10*N246),0))</f>
        <v/>
      </c>
      <c r="T246" s="2">
        <f>IF(C246="","",IF(OR(F246&lt;PARAMETROS!$B$12,F246&gt;PARAMETROS!$B$13,G246&lt;PARAMETROS!$B$11),"NO APTO",IF(O246&lt;IF(F246&lt;1.6,CONFIG!$B$4,IF(F246&lt;1.7,CONFIG!$B$5,IF(F246&lt;1.8,CONFIG!$B$6,IF(F246&lt;2,CONFIG!$B$7,IF(F246&lt;2.2,CONFIG!$B$8,CONFIG!$B$9))))),"NO APTO",IF(R246&lt;PARAMETROS!$B$14,"NO APTO",IF(S246&gt;=PARAMETROS!$B$10,"ALERTA FUERTE",IF(S246&gt;=PARAMETROS!$B$9,"ALERTA MEDIA","NO APTO"))))))</f>
        <v/>
      </c>
      <c r="U246" s="2">
        <f>IF(T246="","",IF(T246="NO APTO","No cumple uno o más filtros",IF(T246="ALERTA FUERTE","Probabilidad, EV, muestra y score superan filtros","Cumple filtros con confianza media")))</f>
        <v/>
      </c>
    </row>
    <row r="247">
      <c r="A247" s="2">
        <f>IF(C247="","",ROW()-1)</f>
        <v/>
      </c>
      <c r="B247" s="2" t="n"/>
      <c r="C247" s="2" t="n"/>
      <c r="D247" s="2" t="n"/>
      <c r="E247" s="2" t="n"/>
      <c r="F247" s="6" t="n"/>
      <c r="G247" s="2" t="n"/>
      <c r="H247" s="7" t="n"/>
      <c r="I247" s="7" t="n"/>
      <c r="J247" s="7" t="n"/>
      <c r="K247" s="7" t="n"/>
      <c r="L247" s="7" t="n"/>
      <c r="M247" s="7" t="n"/>
      <c r="N247" s="7" t="n"/>
      <c r="O247" s="7">
        <f>IF(C247="","",MAX(0.05,MIN(0.95,0.20*H247+0.15*I247+0.15*J247+0.25*K247+0.10*L247+0.05*M247+0.10*N247)))</f>
        <v/>
      </c>
      <c r="P247" s="7">
        <f>IFERROR(1/F247,"")</f>
        <v/>
      </c>
      <c r="Q247" s="7">
        <f>IF(OR(O247="",P247=""),"",O247-P247)</f>
        <v/>
      </c>
      <c r="R247" s="7">
        <f>IF(OR(O247="",F247=""),"",O247*F247-1)</f>
        <v/>
      </c>
      <c r="S247" s="2">
        <f>IF(C247="","",ROUND(100*(0.20*H247+0.15*I247+0.15*J247+0.25*K247+0.10*L247+0.05*M247+0.10*N247),0))</f>
        <v/>
      </c>
      <c r="T247" s="2">
        <f>IF(C247="","",IF(OR(F247&lt;PARAMETROS!$B$12,F247&gt;PARAMETROS!$B$13,G247&lt;PARAMETROS!$B$11),"NO APTO",IF(O247&lt;IF(F247&lt;1.6,CONFIG!$B$4,IF(F247&lt;1.7,CONFIG!$B$5,IF(F247&lt;1.8,CONFIG!$B$6,IF(F247&lt;2,CONFIG!$B$7,IF(F247&lt;2.2,CONFIG!$B$8,CONFIG!$B$9))))),"NO APTO",IF(R247&lt;PARAMETROS!$B$14,"NO APTO",IF(S247&gt;=PARAMETROS!$B$10,"ALERTA FUERTE",IF(S247&gt;=PARAMETROS!$B$9,"ALERTA MEDIA","NO APTO"))))))</f>
        <v/>
      </c>
      <c r="U247" s="2">
        <f>IF(T247="","",IF(T247="NO APTO","No cumple uno o más filtros",IF(T247="ALERTA FUERTE","Probabilidad, EV, muestra y score superan filtros","Cumple filtros con confianza media")))</f>
        <v/>
      </c>
    </row>
    <row r="248">
      <c r="A248" s="2">
        <f>IF(C248="","",ROW()-1)</f>
        <v/>
      </c>
      <c r="B248" s="2" t="n"/>
      <c r="C248" s="2" t="n"/>
      <c r="D248" s="2" t="n"/>
      <c r="E248" s="2" t="n"/>
      <c r="F248" s="6" t="n"/>
      <c r="G248" s="2" t="n"/>
      <c r="H248" s="7" t="n"/>
      <c r="I248" s="7" t="n"/>
      <c r="J248" s="7" t="n"/>
      <c r="K248" s="7" t="n"/>
      <c r="L248" s="7" t="n"/>
      <c r="M248" s="7" t="n"/>
      <c r="N248" s="7" t="n"/>
      <c r="O248" s="7">
        <f>IF(C248="","",MAX(0.05,MIN(0.95,0.20*H248+0.15*I248+0.15*J248+0.25*K248+0.10*L248+0.05*M248+0.10*N248)))</f>
        <v/>
      </c>
      <c r="P248" s="7">
        <f>IFERROR(1/F248,"")</f>
        <v/>
      </c>
      <c r="Q248" s="7">
        <f>IF(OR(O248="",P248=""),"",O248-P248)</f>
        <v/>
      </c>
      <c r="R248" s="7">
        <f>IF(OR(O248="",F248=""),"",O248*F248-1)</f>
        <v/>
      </c>
      <c r="S248" s="2">
        <f>IF(C248="","",ROUND(100*(0.20*H248+0.15*I248+0.15*J248+0.25*K248+0.10*L248+0.05*M248+0.10*N248),0))</f>
        <v/>
      </c>
      <c r="T248" s="2">
        <f>IF(C248="","",IF(OR(F248&lt;PARAMETROS!$B$12,F248&gt;PARAMETROS!$B$13,G248&lt;PARAMETROS!$B$11),"NO APTO",IF(O248&lt;IF(F248&lt;1.6,CONFIG!$B$4,IF(F248&lt;1.7,CONFIG!$B$5,IF(F248&lt;1.8,CONFIG!$B$6,IF(F248&lt;2,CONFIG!$B$7,IF(F248&lt;2.2,CONFIG!$B$8,CONFIG!$B$9))))),"NO APTO",IF(R248&lt;PARAMETROS!$B$14,"NO APTO",IF(S248&gt;=PARAMETROS!$B$10,"ALERTA FUERTE",IF(S248&gt;=PARAMETROS!$B$9,"ALERTA MEDIA","NO APTO"))))))</f>
        <v/>
      </c>
      <c r="U248" s="2">
        <f>IF(T248="","",IF(T248="NO APTO","No cumple uno o más filtros",IF(T248="ALERTA FUERTE","Probabilidad, EV, muestra y score superan filtros","Cumple filtros con confianza media")))</f>
        <v/>
      </c>
    </row>
    <row r="249">
      <c r="A249" s="2">
        <f>IF(C249="","",ROW()-1)</f>
        <v/>
      </c>
      <c r="B249" s="2" t="n"/>
      <c r="C249" s="2" t="n"/>
      <c r="D249" s="2" t="n"/>
      <c r="E249" s="2" t="n"/>
      <c r="F249" s="6" t="n"/>
      <c r="G249" s="2" t="n"/>
      <c r="H249" s="7" t="n"/>
      <c r="I249" s="7" t="n"/>
      <c r="J249" s="7" t="n"/>
      <c r="K249" s="7" t="n"/>
      <c r="L249" s="7" t="n"/>
      <c r="M249" s="7" t="n"/>
      <c r="N249" s="7" t="n"/>
      <c r="O249" s="7">
        <f>IF(C249="","",MAX(0.05,MIN(0.95,0.20*H249+0.15*I249+0.15*J249+0.25*K249+0.10*L249+0.05*M249+0.10*N249)))</f>
        <v/>
      </c>
      <c r="P249" s="7">
        <f>IFERROR(1/F249,"")</f>
        <v/>
      </c>
      <c r="Q249" s="7">
        <f>IF(OR(O249="",P249=""),"",O249-P249)</f>
        <v/>
      </c>
      <c r="R249" s="7">
        <f>IF(OR(O249="",F249=""),"",O249*F249-1)</f>
        <v/>
      </c>
      <c r="S249" s="2">
        <f>IF(C249="","",ROUND(100*(0.20*H249+0.15*I249+0.15*J249+0.25*K249+0.10*L249+0.05*M249+0.10*N249),0))</f>
        <v/>
      </c>
      <c r="T249" s="2">
        <f>IF(C249="","",IF(OR(F249&lt;PARAMETROS!$B$12,F249&gt;PARAMETROS!$B$13,G249&lt;PARAMETROS!$B$11),"NO APTO",IF(O249&lt;IF(F249&lt;1.6,CONFIG!$B$4,IF(F249&lt;1.7,CONFIG!$B$5,IF(F249&lt;1.8,CONFIG!$B$6,IF(F249&lt;2,CONFIG!$B$7,IF(F249&lt;2.2,CONFIG!$B$8,CONFIG!$B$9))))),"NO APTO",IF(R249&lt;PARAMETROS!$B$14,"NO APTO",IF(S249&gt;=PARAMETROS!$B$10,"ALERTA FUERTE",IF(S249&gt;=PARAMETROS!$B$9,"ALERTA MEDIA","NO APTO"))))))</f>
        <v/>
      </c>
      <c r="U249" s="2">
        <f>IF(T249="","",IF(T249="NO APTO","No cumple uno o más filtros",IF(T249="ALERTA FUERTE","Probabilidad, EV, muestra y score superan filtros","Cumple filtros con confianza media")))</f>
        <v/>
      </c>
    </row>
    <row r="250">
      <c r="A250" s="2">
        <f>IF(C250="","",ROW()-1)</f>
        <v/>
      </c>
      <c r="B250" s="2" t="n"/>
      <c r="C250" s="2" t="n"/>
      <c r="D250" s="2" t="n"/>
      <c r="E250" s="2" t="n"/>
      <c r="F250" s="6" t="n"/>
      <c r="G250" s="2" t="n"/>
      <c r="H250" s="7" t="n"/>
      <c r="I250" s="7" t="n"/>
      <c r="J250" s="7" t="n"/>
      <c r="K250" s="7" t="n"/>
      <c r="L250" s="7" t="n"/>
      <c r="M250" s="7" t="n"/>
      <c r="N250" s="7" t="n"/>
      <c r="O250" s="7">
        <f>IF(C250="","",MAX(0.05,MIN(0.95,0.20*H250+0.15*I250+0.15*J250+0.25*K250+0.10*L250+0.05*M250+0.10*N250)))</f>
        <v/>
      </c>
      <c r="P250" s="7">
        <f>IFERROR(1/F250,"")</f>
        <v/>
      </c>
      <c r="Q250" s="7">
        <f>IF(OR(O250="",P250=""),"",O250-P250)</f>
        <v/>
      </c>
      <c r="R250" s="7">
        <f>IF(OR(O250="",F250=""),"",O250*F250-1)</f>
        <v/>
      </c>
      <c r="S250" s="2">
        <f>IF(C250="","",ROUND(100*(0.20*H250+0.15*I250+0.15*J250+0.25*K250+0.10*L250+0.05*M250+0.10*N250),0))</f>
        <v/>
      </c>
      <c r="T250" s="2">
        <f>IF(C250="","",IF(OR(F250&lt;PARAMETROS!$B$12,F250&gt;PARAMETROS!$B$13,G250&lt;PARAMETROS!$B$11),"NO APTO",IF(O250&lt;IF(F250&lt;1.6,CONFIG!$B$4,IF(F250&lt;1.7,CONFIG!$B$5,IF(F250&lt;1.8,CONFIG!$B$6,IF(F250&lt;2,CONFIG!$B$7,IF(F250&lt;2.2,CONFIG!$B$8,CONFIG!$B$9))))),"NO APTO",IF(R250&lt;PARAMETROS!$B$14,"NO APTO",IF(S250&gt;=PARAMETROS!$B$10,"ALERTA FUERTE",IF(S250&gt;=PARAMETROS!$B$9,"ALERTA MEDIA","NO APTO"))))))</f>
        <v/>
      </c>
      <c r="U250" s="2">
        <f>IF(T250="","",IF(T250="NO APTO","No cumple uno o más filtros",IF(T250="ALERTA FUERTE","Probabilidad, EV, muestra y score superan filtros","Cumple filtros con confianza media")))</f>
        <v/>
      </c>
    </row>
    <row r="251">
      <c r="A251" s="2">
        <f>IF(C251="","",ROW()-1)</f>
        <v/>
      </c>
      <c r="B251" s="2" t="n"/>
      <c r="C251" s="2" t="n"/>
      <c r="D251" s="2" t="n"/>
      <c r="E251" s="2" t="n"/>
      <c r="F251" s="6" t="n"/>
      <c r="G251" s="2" t="n"/>
      <c r="H251" s="7" t="n"/>
      <c r="I251" s="7" t="n"/>
      <c r="J251" s="7" t="n"/>
      <c r="K251" s="7" t="n"/>
      <c r="L251" s="7" t="n"/>
      <c r="M251" s="7" t="n"/>
      <c r="N251" s="7" t="n"/>
      <c r="O251" s="7">
        <f>IF(C251="","",MAX(0.05,MIN(0.95,0.20*H251+0.15*I251+0.15*J251+0.25*K251+0.10*L251+0.05*M251+0.10*N251)))</f>
        <v/>
      </c>
      <c r="P251" s="7">
        <f>IFERROR(1/F251,"")</f>
        <v/>
      </c>
      <c r="Q251" s="7">
        <f>IF(OR(O251="",P251=""),"",O251-P251)</f>
        <v/>
      </c>
      <c r="R251" s="7">
        <f>IF(OR(O251="",F251=""),"",O251*F251-1)</f>
        <v/>
      </c>
      <c r="S251" s="2">
        <f>IF(C251="","",ROUND(100*(0.20*H251+0.15*I251+0.15*J251+0.25*K251+0.10*L251+0.05*M251+0.10*N251),0))</f>
        <v/>
      </c>
      <c r="T251" s="2">
        <f>IF(C251="","",IF(OR(F251&lt;PARAMETROS!$B$12,F251&gt;PARAMETROS!$B$13,G251&lt;PARAMETROS!$B$11),"NO APTO",IF(O251&lt;IF(F251&lt;1.6,CONFIG!$B$4,IF(F251&lt;1.7,CONFIG!$B$5,IF(F251&lt;1.8,CONFIG!$B$6,IF(F251&lt;2,CONFIG!$B$7,IF(F251&lt;2.2,CONFIG!$B$8,CONFIG!$B$9))))),"NO APTO",IF(R251&lt;PARAMETROS!$B$14,"NO APTO",IF(S251&gt;=PARAMETROS!$B$10,"ALERTA FUERTE",IF(S251&gt;=PARAMETROS!$B$9,"ALERTA MEDIA","NO APTO"))))))</f>
        <v/>
      </c>
      <c r="U251" s="2">
        <f>IF(T251="","",IF(T251="NO APTO","No cumple uno o más filtros",IF(T251="ALERTA FUERTE","Probabilidad, EV, muestra y score superan filtros","Cumple filtros con confianza media")))</f>
        <v/>
      </c>
    </row>
    <row r="252">
      <c r="A252" s="2">
        <f>IF(C252="","",ROW()-1)</f>
        <v/>
      </c>
      <c r="B252" s="2" t="n"/>
      <c r="C252" s="2" t="n"/>
      <c r="D252" s="2" t="n"/>
      <c r="E252" s="2" t="n"/>
      <c r="F252" s="6" t="n"/>
      <c r="G252" s="2" t="n"/>
      <c r="H252" s="7" t="n"/>
      <c r="I252" s="7" t="n"/>
      <c r="J252" s="7" t="n"/>
      <c r="K252" s="7" t="n"/>
      <c r="L252" s="7" t="n"/>
      <c r="M252" s="7" t="n"/>
      <c r="N252" s="7" t="n"/>
      <c r="O252" s="7">
        <f>IF(C252="","",MAX(0.05,MIN(0.95,0.20*H252+0.15*I252+0.15*J252+0.25*K252+0.10*L252+0.05*M252+0.10*N252)))</f>
        <v/>
      </c>
      <c r="P252" s="7">
        <f>IFERROR(1/F252,"")</f>
        <v/>
      </c>
      <c r="Q252" s="7">
        <f>IF(OR(O252="",P252=""),"",O252-P252)</f>
        <v/>
      </c>
      <c r="R252" s="7">
        <f>IF(OR(O252="",F252=""),"",O252*F252-1)</f>
        <v/>
      </c>
      <c r="S252" s="2">
        <f>IF(C252="","",ROUND(100*(0.20*H252+0.15*I252+0.15*J252+0.25*K252+0.10*L252+0.05*M252+0.10*N252),0))</f>
        <v/>
      </c>
      <c r="T252" s="2">
        <f>IF(C252="","",IF(OR(F252&lt;PARAMETROS!$B$12,F252&gt;PARAMETROS!$B$13,G252&lt;PARAMETROS!$B$11),"NO APTO",IF(O252&lt;IF(F252&lt;1.6,CONFIG!$B$4,IF(F252&lt;1.7,CONFIG!$B$5,IF(F252&lt;1.8,CONFIG!$B$6,IF(F252&lt;2,CONFIG!$B$7,IF(F252&lt;2.2,CONFIG!$B$8,CONFIG!$B$9))))),"NO APTO",IF(R252&lt;PARAMETROS!$B$14,"NO APTO",IF(S252&gt;=PARAMETROS!$B$10,"ALERTA FUERTE",IF(S252&gt;=PARAMETROS!$B$9,"ALERTA MEDIA","NO APTO"))))))</f>
        <v/>
      </c>
      <c r="U252" s="2">
        <f>IF(T252="","",IF(T252="NO APTO","No cumple uno o más filtros",IF(T252="ALERTA FUERTE","Probabilidad, EV, muestra y score superan filtros","Cumple filtros con confianza media")))</f>
        <v/>
      </c>
    </row>
    <row r="253">
      <c r="A253" s="2">
        <f>IF(C253="","",ROW()-1)</f>
        <v/>
      </c>
      <c r="B253" s="2" t="n"/>
      <c r="C253" s="2" t="n"/>
      <c r="D253" s="2" t="n"/>
      <c r="E253" s="2" t="n"/>
      <c r="F253" s="6" t="n"/>
      <c r="G253" s="2" t="n"/>
      <c r="H253" s="7" t="n"/>
      <c r="I253" s="7" t="n"/>
      <c r="J253" s="7" t="n"/>
      <c r="K253" s="7" t="n"/>
      <c r="L253" s="7" t="n"/>
      <c r="M253" s="7" t="n"/>
      <c r="N253" s="7" t="n"/>
      <c r="O253" s="7">
        <f>IF(C253="","",MAX(0.05,MIN(0.95,0.20*H253+0.15*I253+0.15*J253+0.25*K253+0.10*L253+0.05*M253+0.10*N253)))</f>
        <v/>
      </c>
      <c r="P253" s="7">
        <f>IFERROR(1/F253,"")</f>
        <v/>
      </c>
      <c r="Q253" s="7">
        <f>IF(OR(O253="",P253=""),"",O253-P253)</f>
        <v/>
      </c>
      <c r="R253" s="7">
        <f>IF(OR(O253="",F253=""),"",O253*F253-1)</f>
        <v/>
      </c>
      <c r="S253" s="2">
        <f>IF(C253="","",ROUND(100*(0.20*H253+0.15*I253+0.15*J253+0.25*K253+0.10*L253+0.05*M253+0.10*N253),0))</f>
        <v/>
      </c>
      <c r="T253" s="2">
        <f>IF(C253="","",IF(OR(F253&lt;PARAMETROS!$B$12,F253&gt;PARAMETROS!$B$13,G253&lt;PARAMETROS!$B$11),"NO APTO",IF(O253&lt;IF(F253&lt;1.6,CONFIG!$B$4,IF(F253&lt;1.7,CONFIG!$B$5,IF(F253&lt;1.8,CONFIG!$B$6,IF(F253&lt;2,CONFIG!$B$7,IF(F253&lt;2.2,CONFIG!$B$8,CONFIG!$B$9))))),"NO APTO",IF(R253&lt;PARAMETROS!$B$14,"NO APTO",IF(S253&gt;=PARAMETROS!$B$10,"ALERTA FUERTE",IF(S253&gt;=PARAMETROS!$B$9,"ALERTA MEDIA","NO APTO"))))))</f>
        <v/>
      </c>
      <c r="U253" s="2">
        <f>IF(T253="","",IF(T253="NO APTO","No cumple uno o más filtros",IF(T253="ALERTA FUERTE","Probabilidad, EV, muestra y score superan filtros","Cumple filtros con confianza media")))</f>
        <v/>
      </c>
    </row>
    <row r="254">
      <c r="A254" s="2">
        <f>IF(C254="","",ROW()-1)</f>
        <v/>
      </c>
      <c r="B254" s="2" t="n"/>
      <c r="C254" s="2" t="n"/>
      <c r="D254" s="2" t="n"/>
      <c r="E254" s="2" t="n"/>
      <c r="F254" s="6" t="n"/>
      <c r="G254" s="2" t="n"/>
      <c r="H254" s="7" t="n"/>
      <c r="I254" s="7" t="n"/>
      <c r="J254" s="7" t="n"/>
      <c r="K254" s="7" t="n"/>
      <c r="L254" s="7" t="n"/>
      <c r="M254" s="7" t="n"/>
      <c r="N254" s="7" t="n"/>
      <c r="O254" s="7">
        <f>IF(C254="","",MAX(0.05,MIN(0.95,0.20*H254+0.15*I254+0.15*J254+0.25*K254+0.10*L254+0.05*M254+0.10*N254)))</f>
        <v/>
      </c>
      <c r="P254" s="7">
        <f>IFERROR(1/F254,"")</f>
        <v/>
      </c>
      <c r="Q254" s="7">
        <f>IF(OR(O254="",P254=""),"",O254-P254)</f>
        <v/>
      </c>
      <c r="R254" s="7">
        <f>IF(OR(O254="",F254=""),"",O254*F254-1)</f>
        <v/>
      </c>
      <c r="S254" s="2">
        <f>IF(C254="","",ROUND(100*(0.20*H254+0.15*I254+0.15*J254+0.25*K254+0.10*L254+0.05*M254+0.10*N254),0))</f>
        <v/>
      </c>
      <c r="T254" s="2">
        <f>IF(C254="","",IF(OR(F254&lt;PARAMETROS!$B$12,F254&gt;PARAMETROS!$B$13,G254&lt;PARAMETROS!$B$11),"NO APTO",IF(O254&lt;IF(F254&lt;1.6,CONFIG!$B$4,IF(F254&lt;1.7,CONFIG!$B$5,IF(F254&lt;1.8,CONFIG!$B$6,IF(F254&lt;2,CONFIG!$B$7,IF(F254&lt;2.2,CONFIG!$B$8,CONFIG!$B$9))))),"NO APTO",IF(R254&lt;PARAMETROS!$B$14,"NO APTO",IF(S254&gt;=PARAMETROS!$B$10,"ALERTA FUERTE",IF(S254&gt;=PARAMETROS!$B$9,"ALERTA MEDIA","NO APTO"))))))</f>
        <v/>
      </c>
      <c r="U254" s="2">
        <f>IF(T254="","",IF(T254="NO APTO","No cumple uno o más filtros",IF(T254="ALERTA FUERTE","Probabilidad, EV, muestra y score superan filtros","Cumple filtros con confianza media")))</f>
        <v/>
      </c>
    </row>
    <row r="255">
      <c r="A255" s="2">
        <f>IF(C255="","",ROW()-1)</f>
        <v/>
      </c>
      <c r="B255" s="2" t="n"/>
      <c r="C255" s="2" t="n"/>
      <c r="D255" s="2" t="n"/>
      <c r="E255" s="2" t="n"/>
      <c r="F255" s="6" t="n"/>
      <c r="G255" s="2" t="n"/>
      <c r="H255" s="7" t="n"/>
      <c r="I255" s="7" t="n"/>
      <c r="J255" s="7" t="n"/>
      <c r="K255" s="7" t="n"/>
      <c r="L255" s="7" t="n"/>
      <c r="M255" s="7" t="n"/>
      <c r="N255" s="7" t="n"/>
      <c r="O255" s="7">
        <f>IF(C255="","",MAX(0.05,MIN(0.95,0.20*H255+0.15*I255+0.15*J255+0.25*K255+0.10*L255+0.05*M255+0.10*N255)))</f>
        <v/>
      </c>
      <c r="P255" s="7">
        <f>IFERROR(1/F255,"")</f>
        <v/>
      </c>
      <c r="Q255" s="7">
        <f>IF(OR(O255="",P255=""),"",O255-P255)</f>
        <v/>
      </c>
      <c r="R255" s="7">
        <f>IF(OR(O255="",F255=""),"",O255*F255-1)</f>
        <v/>
      </c>
      <c r="S255" s="2">
        <f>IF(C255="","",ROUND(100*(0.20*H255+0.15*I255+0.15*J255+0.25*K255+0.10*L255+0.05*M255+0.10*N255),0))</f>
        <v/>
      </c>
      <c r="T255" s="2">
        <f>IF(C255="","",IF(OR(F255&lt;PARAMETROS!$B$12,F255&gt;PARAMETROS!$B$13,G255&lt;PARAMETROS!$B$11),"NO APTO",IF(O255&lt;IF(F255&lt;1.6,CONFIG!$B$4,IF(F255&lt;1.7,CONFIG!$B$5,IF(F255&lt;1.8,CONFIG!$B$6,IF(F255&lt;2,CONFIG!$B$7,IF(F255&lt;2.2,CONFIG!$B$8,CONFIG!$B$9))))),"NO APTO",IF(R255&lt;PARAMETROS!$B$14,"NO APTO",IF(S255&gt;=PARAMETROS!$B$10,"ALERTA FUERTE",IF(S255&gt;=PARAMETROS!$B$9,"ALERTA MEDIA","NO APTO"))))))</f>
        <v/>
      </c>
      <c r="U255" s="2">
        <f>IF(T255="","",IF(T255="NO APTO","No cumple uno o más filtros",IF(T255="ALERTA FUERTE","Probabilidad, EV, muestra y score superan filtros","Cumple filtros con confianza media")))</f>
        <v/>
      </c>
    </row>
    <row r="256">
      <c r="A256" s="2">
        <f>IF(C256="","",ROW()-1)</f>
        <v/>
      </c>
      <c r="B256" s="2" t="n"/>
      <c r="C256" s="2" t="n"/>
      <c r="D256" s="2" t="n"/>
      <c r="E256" s="2" t="n"/>
      <c r="F256" s="6" t="n"/>
      <c r="G256" s="2" t="n"/>
      <c r="H256" s="7" t="n"/>
      <c r="I256" s="7" t="n"/>
      <c r="J256" s="7" t="n"/>
      <c r="K256" s="7" t="n"/>
      <c r="L256" s="7" t="n"/>
      <c r="M256" s="7" t="n"/>
      <c r="N256" s="7" t="n"/>
      <c r="O256" s="7">
        <f>IF(C256="","",MAX(0.05,MIN(0.95,0.20*H256+0.15*I256+0.15*J256+0.25*K256+0.10*L256+0.05*M256+0.10*N256)))</f>
        <v/>
      </c>
      <c r="P256" s="7">
        <f>IFERROR(1/F256,"")</f>
        <v/>
      </c>
      <c r="Q256" s="7">
        <f>IF(OR(O256="",P256=""),"",O256-P256)</f>
        <v/>
      </c>
      <c r="R256" s="7">
        <f>IF(OR(O256="",F256=""),"",O256*F256-1)</f>
        <v/>
      </c>
      <c r="S256" s="2">
        <f>IF(C256="","",ROUND(100*(0.20*H256+0.15*I256+0.15*J256+0.25*K256+0.10*L256+0.05*M256+0.10*N256),0))</f>
        <v/>
      </c>
      <c r="T256" s="2">
        <f>IF(C256="","",IF(OR(F256&lt;PARAMETROS!$B$12,F256&gt;PARAMETROS!$B$13,G256&lt;PARAMETROS!$B$11),"NO APTO",IF(O256&lt;IF(F256&lt;1.6,CONFIG!$B$4,IF(F256&lt;1.7,CONFIG!$B$5,IF(F256&lt;1.8,CONFIG!$B$6,IF(F256&lt;2,CONFIG!$B$7,IF(F256&lt;2.2,CONFIG!$B$8,CONFIG!$B$9))))),"NO APTO",IF(R256&lt;PARAMETROS!$B$14,"NO APTO",IF(S256&gt;=PARAMETROS!$B$10,"ALERTA FUERTE",IF(S256&gt;=PARAMETROS!$B$9,"ALERTA MEDIA","NO APTO"))))))</f>
        <v/>
      </c>
      <c r="U256" s="2">
        <f>IF(T256="","",IF(T256="NO APTO","No cumple uno o más filtros",IF(T256="ALERTA FUERTE","Probabilidad, EV, muestra y score superan filtros","Cumple filtros con confianza media")))</f>
        <v/>
      </c>
    </row>
    <row r="257">
      <c r="A257" s="2">
        <f>IF(C257="","",ROW()-1)</f>
        <v/>
      </c>
      <c r="B257" s="2" t="n"/>
      <c r="C257" s="2" t="n"/>
      <c r="D257" s="2" t="n"/>
      <c r="E257" s="2" t="n"/>
      <c r="F257" s="6" t="n"/>
      <c r="G257" s="2" t="n"/>
      <c r="H257" s="7" t="n"/>
      <c r="I257" s="7" t="n"/>
      <c r="J257" s="7" t="n"/>
      <c r="K257" s="7" t="n"/>
      <c r="L257" s="7" t="n"/>
      <c r="M257" s="7" t="n"/>
      <c r="N257" s="7" t="n"/>
      <c r="O257" s="7">
        <f>IF(C257="","",MAX(0.05,MIN(0.95,0.20*H257+0.15*I257+0.15*J257+0.25*K257+0.10*L257+0.05*M257+0.10*N257)))</f>
        <v/>
      </c>
      <c r="P257" s="7">
        <f>IFERROR(1/F257,"")</f>
        <v/>
      </c>
      <c r="Q257" s="7">
        <f>IF(OR(O257="",P257=""),"",O257-P257)</f>
        <v/>
      </c>
      <c r="R257" s="7">
        <f>IF(OR(O257="",F257=""),"",O257*F257-1)</f>
        <v/>
      </c>
      <c r="S257" s="2">
        <f>IF(C257="","",ROUND(100*(0.20*H257+0.15*I257+0.15*J257+0.25*K257+0.10*L257+0.05*M257+0.10*N257),0))</f>
        <v/>
      </c>
      <c r="T257" s="2">
        <f>IF(C257="","",IF(OR(F257&lt;PARAMETROS!$B$12,F257&gt;PARAMETROS!$B$13,G257&lt;PARAMETROS!$B$11),"NO APTO",IF(O257&lt;IF(F257&lt;1.6,CONFIG!$B$4,IF(F257&lt;1.7,CONFIG!$B$5,IF(F257&lt;1.8,CONFIG!$B$6,IF(F257&lt;2,CONFIG!$B$7,IF(F257&lt;2.2,CONFIG!$B$8,CONFIG!$B$9))))),"NO APTO",IF(R257&lt;PARAMETROS!$B$14,"NO APTO",IF(S257&gt;=PARAMETROS!$B$10,"ALERTA FUERTE",IF(S257&gt;=PARAMETROS!$B$9,"ALERTA MEDIA","NO APTO"))))))</f>
        <v/>
      </c>
      <c r="U257" s="2">
        <f>IF(T257="","",IF(T257="NO APTO","No cumple uno o más filtros",IF(T257="ALERTA FUERTE","Probabilidad, EV, muestra y score superan filtros","Cumple filtros con confianza media")))</f>
        <v/>
      </c>
    </row>
    <row r="258">
      <c r="A258" s="2">
        <f>IF(C258="","",ROW()-1)</f>
        <v/>
      </c>
      <c r="B258" s="2" t="n"/>
      <c r="C258" s="2" t="n"/>
      <c r="D258" s="2" t="n"/>
      <c r="E258" s="2" t="n"/>
      <c r="F258" s="6" t="n"/>
      <c r="G258" s="2" t="n"/>
      <c r="H258" s="7" t="n"/>
      <c r="I258" s="7" t="n"/>
      <c r="J258" s="7" t="n"/>
      <c r="K258" s="7" t="n"/>
      <c r="L258" s="7" t="n"/>
      <c r="M258" s="7" t="n"/>
      <c r="N258" s="7" t="n"/>
      <c r="O258" s="7">
        <f>IF(C258="","",MAX(0.05,MIN(0.95,0.20*H258+0.15*I258+0.15*J258+0.25*K258+0.10*L258+0.05*M258+0.10*N258)))</f>
        <v/>
      </c>
      <c r="P258" s="7">
        <f>IFERROR(1/F258,"")</f>
        <v/>
      </c>
      <c r="Q258" s="7">
        <f>IF(OR(O258="",P258=""),"",O258-P258)</f>
        <v/>
      </c>
      <c r="R258" s="7">
        <f>IF(OR(O258="",F258=""),"",O258*F258-1)</f>
        <v/>
      </c>
      <c r="S258" s="2">
        <f>IF(C258="","",ROUND(100*(0.20*H258+0.15*I258+0.15*J258+0.25*K258+0.10*L258+0.05*M258+0.10*N258),0))</f>
        <v/>
      </c>
      <c r="T258" s="2">
        <f>IF(C258="","",IF(OR(F258&lt;PARAMETROS!$B$12,F258&gt;PARAMETROS!$B$13,G258&lt;PARAMETROS!$B$11),"NO APTO",IF(O258&lt;IF(F258&lt;1.6,CONFIG!$B$4,IF(F258&lt;1.7,CONFIG!$B$5,IF(F258&lt;1.8,CONFIG!$B$6,IF(F258&lt;2,CONFIG!$B$7,IF(F258&lt;2.2,CONFIG!$B$8,CONFIG!$B$9))))),"NO APTO",IF(R258&lt;PARAMETROS!$B$14,"NO APTO",IF(S258&gt;=PARAMETROS!$B$10,"ALERTA FUERTE",IF(S258&gt;=PARAMETROS!$B$9,"ALERTA MEDIA","NO APTO"))))))</f>
        <v/>
      </c>
      <c r="U258" s="2">
        <f>IF(T258="","",IF(T258="NO APTO","No cumple uno o más filtros",IF(T258="ALERTA FUERTE","Probabilidad, EV, muestra y score superan filtros","Cumple filtros con confianza media")))</f>
        <v/>
      </c>
    </row>
    <row r="259">
      <c r="A259" s="2">
        <f>IF(C259="","",ROW()-1)</f>
        <v/>
      </c>
      <c r="B259" s="2" t="n"/>
      <c r="C259" s="2" t="n"/>
      <c r="D259" s="2" t="n"/>
      <c r="E259" s="2" t="n"/>
      <c r="F259" s="6" t="n"/>
      <c r="G259" s="2" t="n"/>
      <c r="H259" s="7" t="n"/>
      <c r="I259" s="7" t="n"/>
      <c r="J259" s="7" t="n"/>
      <c r="K259" s="7" t="n"/>
      <c r="L259" s="7" t="n"/>
      <c r="M259" s="7" t="n"/>
      <c r="N259" s="7" t="n"/>
      <c r="O259" s="7">
        <f>IF(C259="","",MAX(0.05,MIN(0.95,0.20*H259+0.15*I259+0.15*J259+0.25*K259+0.10*L259+0.05*M259+0.10*N259)))</f>
        <v/>
      </c>
      <c r="P259" s="7">
        <f>IFERROR(1/F259,"")</f>
        <v/>
      </c>
      <c r="Q259" s="7">
        <f>IF(OR(O259="",P259=""),"",O259-P259)</f>
        <v/>
      </c>
      <c r="R259" s="7">
        <f>IF(OR(O259="",F259=""),"",O259*F259-1)</f>
        <v/>
      </c>
      <c r="S259" s="2">
        <f>IF(C259="","",ROUND(100*(0.20*H259+0.15*I259+0.15*J259+0.25*K259+0.10*L259+0.05*M259+0.10*N259),0))</f>
        <v/>
      </c>
      <c r="T259" s="2">
        <f>IF(C259="","",IF(OR(F259&lt;PARAMETROS!$B$12,F259&gt;PARAMETROS!$B$13,G259&lt;PARAMETROS!$B$11),"NO APTO",IF(O259&lt;IF(F259&lt;1.6,CONFIG!$B$4,IF(F259&lt;1.7,CONFIG!$B$5,IF(F259&lt;1.8,CONFIG!$B$6,IF(F259&lt;2,CONFIG!$B$7,IF(F259&lt;2.2,CONFIG!$B$8,CONFIG!$B$9))))),"NO APTO",IF(R259&lt;PARAMETROS!$B$14,"NO APTO",IF(S259&gt;=PARAMETROS!$B$10,"ALERTA FUERTE",IF(S259&gt;=PARAMETROS!$B$9,"ALERTA MEDIA","NO APTO"))))))</f>
        <v/>
      </c>
      <c r="U259" s="2">
        <f>IF(T259="","",IF(T259="NO APTO","No cumple uno o más filtros",IF(T259="ALERTA FUERTE","Probabilidad, EV, muestra y score superan filtros","Cumple filtros con confianza media")))</f>
        <v/>
      </c>
    </row>
    <row r="260">
      <c r="A260" s="2">
        <f>IF(C260="","",ROW()-1)</f>
        <v/>
      </c>
      <c r="B260" s="2" t="n"/>
      <c r="C260" s="2" t="n"/>
      <c r="D260" s="2" t="n"/>
      <c r="E260" s="2" t="n"/>
      <c r="F260" s="6" t="n"/>
      <c r="G260" s="2" t="n"/>
      <c r="H260" s="7" t="n"/>
      <c r="I260" s="7" t="n"/>
      <c r="J260" s="7" t="n"/>
      <c r="K260" s="7" t="n"/>
      <c r="L260" s="7" t="n"/>
      <c r="M260" s="7" t="n"/>
      <c r="N260" s="7" t="n"/>
      <c r="O260" s="7">
        <f>IF(C260="","",MAX(0.05,MIN(0.95,0.20*H260+0.15*I260+0.15*J260+0.25*K260+0.10*L260+0.05*M260+0.10*N260)))</f>
        <v/>
      </c>
      <c r="P260" s="7">
        <f>IFERROR(1/F260,"")</f>
        <v/>
      </c>
      <c r="Q260" s="7">
        <f>IF(OR(O260="",P260=""),"",O260-P260)</f>
        <v/>
      </c>
      <c r="R260" s="7">
        <f>IF(OR(O260="",F260=""),"",O260*F260-1)</f>
        <v/>
      </c>
      <c r="S260" s="2">
        <f>IF(C260="","",ROUND(100*(0.20*H260+0.15*I260+0.15*J260+0.25*K260+0.10*L260+0.05*M260+0.10*N260),0))</f>
        <v/>
      </c>
      <c r="T260" s="2">
        <f>IF(C260="","",IF(OR(F260&lt;PARAMETROS!$B$12,F260&gt;PARAMETROS!$B$13,G260&lt;PARAMETROS!$B$11),"NO APTO",IF(O260&lt;IF(F260&lt;1.6,CONFIG!$B$4,IF(F260&lt;1.7,CONFIG!$B$5,IF(F260&lt;1.8,CONFIG!$B$6,IF(F260&lt;2,CONFIG!$B$7,IF(F260&lt;2.2,CONFIG!$B$8,CONFIG!$B$9))))),"NO APTO",IF(R260&lt;PARAMETROS!$B$14,"NO APTO",IF(S260&gt;=PARAMETROS!$B$10,"ALERTA FUERTE",IF(S260&gt;=PARAMETROS!$B$9,"ALERTA MEDIA","NO APTO"))))))</f>
        <v/>
      </c>
      <c r="U260" s="2">
        <f>IF(T260="","",IF(T260="NO APTO","No cumple uno o más filtros",IF(T260="ALERTA FUERTE","Probabilidad, EV, muestra y score superan filtros","Cumple filtros con confianza media")))</f>
        <v/>
      </c>
    </row>
    <row r="261">
      <c r="A261" s="2">
        <f>IF(C261="","",ROW()-1)</f>
        <v/>
      </c>
      <c r="B261" s="2" t="n"/>
      <c r="C261" s="2" t="n"/>
      <c r="D261" s="2" t="n"/>
      <c r="E261" s="2" t="n"/>
      <c r="F261" s="6" t="n"/>
      <c r="G261" s="2" t="n"/>
      <c r="H261" s="7" t="n"/>
      <c r="I261" s="7" t="n"/>
      <c r="J261" s="7" t="n"/>
      <c r="K261" s="7" t="n"/>
      <c r="L261" s="7" t="n"/>
      <c r="M261" s="7" t="n"/>
      <c r="N261" s="7" t="n"/>
      <c r="O261" s="7">
        <f>IF(C261="","",MAX(0.05,MIN(0.95,0.20*H261+0.15*I261+0.15*J261+0.25*K261+0.10*L261+0.05*M261+0.10*N261)))</f>
        <v/>
      </c>
      <c r="P261" s="7">
        <f>IFERROR(1/F261,"")</f>
        <v/>
      </c>
      <c r="Q261" s="7">
        <f>IF(OR(O261="",P261=""),"",O261-P261)</f>
        <v/>
      </c>
      <c r="R261" s="7">
        <f>IF(OR(O261="",F261=""),"",O261*F261-1)</f>
        <v/>
      </c>
      <c r="S261" s="2">
        <f>IF(C261="","",ROUND(100*(0.20*H261+0.15*I261+0.15*J261+0.25*K261+0.10*L261+0.05*M261+0.10*N261),0))</f>
        <v/>
      </c>
      <c r="T261" s="2">
        <f>IF(C261="","",IF(OR(F261&lt;PARAMETROS!$B$12,F261&gt;PARAMETROS!$B$13,G261&lt;PARAMETROS!$B$11),"NO APTO",IF(O261&lt;IF(F261&lt;1.6,CONFIG!$B$4,IF(F261&lt;1.7,CONFIG!$B$5,IF(F261&lt;1.8,CONFIG!$B$6,IF(F261&lt;2,CONFIG!$B$7,IF(F261&lt;2.2,CONFIG!$B$8,CONFIG!$B$9))))),"NO APTO",IF(R261&lt;PARAMETROS!$B$14,"NO APTO",IF(S261&gt;=PARAMETROS!$B$10,"ALERTA FUERTE",IF(S261&gt;=PARAMETROS!$B$9,"ALERTA MEDIA","NO APTO"))))))</f>
        <v/>
      </c>
      <c r="U261" s="2">
        <f>IF(T261="","",IF(T261="NO APTO","No cumple uno o más filtros",IF(T261="ALERTA FUERTE","Probabilidad, EV, muestra y score superan filtros","Cumple filtros con confianza media")))</f>
        <v/>
      </c>
    </row>
    <row r="262">
      <c r="A262" s="2">
        <f>IF(C262="","",ROW()-1)</f>
        <v/>
      </c>
      <c r="B262" s="2" t="n"/>
      <c r="C262" s="2" t="n"/>
      <c r="D262" s="2" t="n"/>
      <c r="E262" s="2" t="n"/>
      <c r="F262" s="6" t="n"/>
      <c r="G262" s="2" t="n"/>
      <c r="H262" s="7" t="n"/>
      <c r="I262" s="7" t="n"/>
      <c r="J262" s="7" t="n"/>
      <c r="K262" s="7" t="n"/>
      <c r="L262" s="7" t="n"/>
      <c r="M262" s="7" t="n"/>
      <c r="N262" s="7" t="n"/>
      <c r="O262" s="7">
        <f>IF(C262="","",MAX(0.05,MIN(0.95,0.20*H262+0.15*I262+0.15*J262+0.25*K262+0.10*L262+0.05*M262+0.10*N262)))</f>
        <v/>
      </c>
      <c r="P262" s="7">
        <f>IFERROR(1/F262,"")</f>
        <v/>
      </c>
      <c r="Q262" s="7">
        <f>IF(OR(O262="",P262=""),"",O262-P262)</f>
        <v/>
      </c>
      <c r="R262" s="7">
        <f>IF(OR(O262="",F262=""),"",O262*F262-1)</f>
        <v/>
      </c>
      <c r="S262" s="2">
        <f>IF(C262="","",ROUND(100*(0.20*H262+0.15*I262+0.15*J262+0.25*K262+0.10*L262+0.05*M262+0.10*N262),0))</f>
        <v/>
      </c>
      <c r="T262" s="2">
        <f>IF(C262="","",IF(OR(F262&lt;PARAMETROS!$B$12,F262&gt;PARAMETROS!$B$13,G262&lt;PARAMETROS!$B$11),"NO APTO",IF(O262&lt;IF(F262&lt;1.6,CONFIG!$B$4,IF(F262&lt;1.7,CONFIG!$B$5,IF(F262&lt;1.8,CONFIG!$B$6,IF(F262&lt;2,CONFIG!$B$7,IF(F262&lt;2.2,CONFIG!$B$8,CONFIG!$B$9))))),"NO APTO",IF(R262&lt;PARAMETROS!$B$14,"NO APTO",IF(S262&gt;=PARAMETROS!$B$10,"ALERTA FUERTE",IF(S262&gt;=PARAMETROS!$B$9,"ALERTA MEDIA","NO APTO"))))))</f>
        <v/>
      </c>
      <c r="U262" s="2">
        <f>IF(T262="","",IF(T262="NO APTO","No cumple uno o más filtros",IF(T262="ALERTA FUERTE","Probabilidad, EV, muestra y score superan filtros","Cumple filtros con confianza media")))</f>
        <v/>
      </c>
    </row>
    <row r="263">
      <c r="A263" s="2">
        <f>IF(C263="","",ROW()-1)</f>
        <v/>
      </c>
      <c r="B263" s="2" t="n"/>
      <c r="C263" s="2" t="n"/>
      <c r="D263" s="2" t="n"/>
      <c r="E263" s="2" t="n"/>
      <c r="F263" s="6" t="n"/>
      <c r="G263" s="2" t="n"/>
      <c r="H263" s="7" t="n"/>
      <c r="I263" s="7" t="n"/>
      <c r="J263" s="7" t="n"/>
      <c r="K263" s="7" t="n"/>
      <c r="L263" s="7" t="n"/>
      <c r="M263" s="7" t="n"/>
      <c r="N263" s="7" t="n"/>
      <c r="O263" s="7">
        <f>IF(C263="","",MAX(0.05,MIN(0.95,0.20*H263+0.15*I263+0.15*J263+0.25*K263+0.10*L263+0.05*M263+0.10*N263)))</f>
        <v/>
      </c>
      <c r="P263" s="7">
        <f>IFERROR(1/F263,"")</f>
        <v/>
      </c>
      <c r="Q263" s="7">
        <f>IF(OR(O263="",P263=""),"",O263-P263)</f>
        <v/>
      </c>
      <c r="R263" s="7">
        <f>IF(OR(O263="",F263=""),"",O263*F263-1)</f>
        <v/>
      </c>
      <c r="S263" s="2">
        <f>IF(C263="","",ROUND(100*(0.20*H263+0.15*I263+0.15*J263+0.25*K263+0.10*L263+0.05*M263+0.10*N263),0))</f>
        <v/>
      </c>
      <c r="T263" s="2">
        <f>IF(C263="","",IF(OR(F263&lt;PARAMETROS!$B$12,F263&gt;PARAMETROS!$B$13,G263&lt;PARAMETROS!$B$11),"NO APTO",IF(O263&lt;IF(F263&lt;1.6,CONFIG!$B$4,IF(F263&lt;1.7,CONFIG!$B$5,IF(F263&lt;1.8,CONFIG!$B$6,IF(F263&lt;2,CONFIG!$B$7,IF(F263&lt;2.2,CONFIG!$B$8,CONFIG!$B$9))))),"NO APTO",IF(R263&lt;PARAMETROS!$B$14,"NO APTO",IF(S263&gt;=PARAMETROS!$B$10,"ALERTA FUERTE",IF(S263&gt;=PARAMETROS!$B$9,"ALERTA MEDIA","NO APTO"))))))</f>
        <v/>
      </c>
      <c r="U263" s="2">
        <f>IF(T263="","",IF(T263="NO APTO","No cumple uno o más filtros",IF(T263="ALERTA FUERTE","Probabilidad, EV, muestra y score superan filtros","Cumple filtros con confianza media")))</f>
        <v/>
      </c>
    </row>
    <row r="264">
      <c r="A264" s="2">
        <f>IF(C264="","",ROW()-1)</f>
        <v/>
      </c>
      <c r="B264" s="2" t="n"/>
      <c r="C264" s="2" t="n"/>
      <c r="D264" s="2" t="n"/>
      <c r="E264" s="2" t="n"/>
      <c r="F264" s="6" t="n"/>
      <c r="G264" s="2" t="n"/>
      <c r="H264" s="7" t="n"/>
      <c r="I264" s="7" t="n"/>
      <c r="J264" s="7" t="n"/>
      <c r="K264" s="7" t="n"/>
      <c r="L264" s="7" t="n"/>
      <c r="M264" s="7" t="n"/>
      <c r="N264" s="7" t="n"/>
      <c r="O264" s="7">
        <f>IF(C264="","",MAX(0.05,MIN(0.95,0.20*H264+0.15*I264+0.15*J264+0.25*K264+0.10*L264+0.05*M264+0.10*N264)))</f>
        <v/>
      </c>
      <c r="P264" s="7">
        <f>IFERROR(1/F264,"")</f>
        <v/>
      </c>
      <c r="Q264" s="7">
        <f>IF(OR(O264="",P264=""),"",O264-P264)</f>
        <v/>
      </c>
      <c r="R264" s="7">
        <f>IF(OR(O264="",F264=""),"",O264*F264-1)</f>
        <v/>
      </c>
      <c r="S264" s="2">
        <f>IF(C264="","",ROUND(100*(0.20*H264+0.15*I264+0.15*J264+0.25*K264+0.10*L264+0.05*M264+0.10*N264),0))</f>
        <v/>
      </c>
      <c r="T264" s="2">
        <f>IF(C264="","",IF(OR(F264&lt;PARAMETROS!$B$12,F264&gt;PARAMETROS!$B$13,G264&lt;PARAMETROS!$B$11),"NO APTO",IF(O264&lt;IF(F264&lt;1.6,CONFIG!$B$4,IF(F264&lt;1.7,CONFIG!$B$5,IF(F264&lt;1.8,CONFIG!$B$6,IF(F264&lt;2,CONFIG!$B$7,IF(F264&lt;2.2,CONFIG!$B$8,CONFIG!$B$9))))),"NO APTO",IF(R264&lt;PARAMETROS!$B$14,"NO APTO",IF(S264&gt;=PARAMETROS!$B$10,"ALERTA FUERTE",IF(S264&gt;=PARAMETROS!$B$9,"ALERTA MEDIA","NO APTO"))))))</f>
        <v/>
      </c>
      <c r="U264" s="2">
        <f>IF(T264="","",IF(T264="NO APTO","No cumple uno o más filtros",IF(T264="ALERTA FUERTE","Probabilidad, EV, muestra y score superan filtros","Cumple filtros con confianza media")))</f>
        <v/>
      </c>
    </row>
    <row r="265">
      <c r="A265" s="2">
        <f>IF(C265="","",ROW()-1)</f>
        <v/>
      </c>
      <c r="B265" s="2" t="n"/>
      <c r="C265" s="2" t="n"/>
      <c r="D265" s="2" t="n"/>
      <c r="E265" s="2" t="n"/>
      <c r="F265" s="6" t="n"/>
      <c r="G265" s="2" t="n"/>
      <c r="H265" s="7" t="n"/>
      <c r="I265" s="7" t="n"/>
      <c r="J265" s="7" t="n"/>
      <c r="K265" s="7" t="n"/>
      <c r="L265" s="7" t="n"/>
      <c r="M265" s="7" t="n"/>
      <c r="N265" s="7" t="n"/>
      <c r="O265" s="7">
        <f>IF(C265="","",MAX(0.05,MIN(0.95,0.20*H265+0.15*I265+0.15*J265+0.25*K265+0.10*L265+0.05*M265+0.10*N265)))</f>
        <v/>
      </c>
      <c r="P265" s="7">
        <f>IFERROR(1/F265,"")</f>
        <v/>
      </c>
      <c r="Q265" s="7">
        <f>IF(OR(O265="",P265=""),"",O265-P265)</f>
        <v/>
      </c>
      <c r="R265" s="7">
        <f>IF(OR(O265="",F265=""),"",O265*F265-1)</f>
        <v/>
      </c>
      <c r="S265" s="2">
        <f>IF(C265="","",ROUND(100*(0.20*H265+0.15*I265+0.15*J265+0.25*K265+0.10*L265+0.05*M265+0.10*N265),0))</f>
        <v/>
      </c>
      <c r="T265" s="2">
        <f>IF(C265="","",IF(OR(F265&lt;PARAMETROS!$B$12,F265&gt;PARAMETROS!$B$13,G265&lt;PARAMETROS!$B$11),"NO APTO",IF(O265&lt;IF(F265&lt;1.6,CONFIG!$B$4,IF(F265&lt;1.7,CONFIG!$B$5,IF(F265&lt;1.8,CONFIG!$B$6,IF(F265&lt;2,CONFIG!$B$7,IF(F265&lt;2.2,CONFIG!$B$8,CONFIG!$B$9))))),"NO APTO",IF(R265&lt;PARAMETROS!$B$14,"NO APTO",IF(S265&gt;=PARAMETROS!$B$10,"ALERTA FUERTE",IF(S265&gt;=PARAMETROS!$B$9,"ALERTA MEDIA","NO APTO"))))))</f>
        <v/>
      </c>
      <c r="U265" s="2">
        <f>IF(T265="","",IF(T265="NO APTO","No cumple uno o más filtros",IF(T265="ALERTA FUERTE","Probabilidad, EV, muestra y score superan filtros","Cumple filtros con confianza media")))</f>
        <v/>
      </c>
    </row>
    <row r="266">
      <c r="A266" s="2">
        <f>IF(C266="","",ROW()-1)</f>
        <v/>
      </c>
      <c r="B266" s="2" t="n"/>
      <c r="C266" s="2" t="n"/>
      <c r="D266" s="2" t="n"/>
      <c r="E266" s="2" t="n"/>
      <c r="F266" s="6" t="n"/>
      <c r="G266" s="2" t="n"/>
      <c r="H266" s="7" t="n"/>
      <c r="I266" s="7" t="n"/>
      <c r="J266" s="7" t="n"/>
      <c r="K266" s="7" t="n"/>
      <c r="L266" s="7" t="n"/>
      <c r="M266" s="7" t="n"/>
      <c r="N266" s="7" t="n"/>
      <c r="O266" s="7">
        <f>IF(C266="","",MAX(0.05,MIN(0.95,0.20*H266+0.15*I266+0.15*J266+0.25*K266+0.10*L266+0.05*M266+0.10*N266)))</f>
        <v/>
      </c>
      <c r="P266" s="7">
        <f>IFERROR(1/F266,"")</f>
        <v/>
      </c>
      <c r="Q266" s="7">
        <f>IF(OR(O266="",P266=""),"",O266-P266)</f>
        <v/>
      </c>
      <c r="R266" s="7">
        <f>IF(OR(O266="",F266=""),"",O266*F266-1)</f>
        <v/>
      </c>
      <c r="S266" s="2">
        <f>IF(C266="","",ROUND(100*(0.20*H266+0.15*I266+0.15*J266+0.25*K266+0.10*L266+0.05*M266+0.10*N266),0))</f>
        <v/>
      </c>
      <c r="T266" s="2">
        <f>IF(C266="","",IF(OR(F266&lt;PARAMETROS!$B$12,F266&gt;PARAMETROS!$B$13,G266&lt;PARAMETROS!$B$11),"NO APTO",IF(O266&lt;IF(F266&lt;1.6,CONFIG!$B$4,IF(F266&lt;1.7,CONFIG!$B$5,IF(F266&lt;1.8,CONFIG!$B$6,IF(F266&lt;2,CONFIG!$B$7,IF(F266&lt;2.2,CONFIG!$B$8,CONFIG!$B$9))))),"NO APTO",IF(R266&lt;PARAMETROS!$B$14,"NO APTO",IF(S266&gt;=PARAMETROS!$B$10,"ALERTA FUERTE",IF(S266&gt;=PARAMETROS!$B$9,"ALERTA MEDIA","NO APTO"))))))</f>
        <v/>
      </c>
      <c r="U266" s="2">
        <f>IF(T266="","",IF(T266="NO APTO","No cumple uno o más filtros",IF(T266="ALERTA FUERTE","Probabilidad, EV, muestra y score superan filtros","Cumple filtros con confianza media")))</f>
        <v/>
      </c>
    </row>
    <row r="267">
      <c r="A267" s="2">
        <f>IF(C267="","",ROW()-1)</f>
        <v/>
      </c>
      <c r="B267" s="2" t="n"/>
      <c r="C267" s="2" t="n"/>
      <c r="D267" s="2" t="n"/>
      <c r="E267" s="2" t="n"/>
      <c r="F267" s="6" t="n"/>
      <c r="G267" s="2" t="n"/>
      <c r="H267" s="7" t="n"/>
      <c r="I267" s="7" t="n"/>
      <c r="J267" s="7" t="n"/>
      <c r="K267" s="7" t="n"/>
      <c r="L267" s="7" t="n"/>
      <c r="M267" s="7" t="n"/>
      <c r="N267" s="7" t="n"/>
      <c r="O267" s="7">
        <f>IF(C267="","",MAX(0.05,MIN(0.95,0.20*H267+0.15*I267+0.15*J267+0.25*K267+0.10*L267+0.05*M267+0.10*N267)))</f>
        <v/>
      </c>
      <c r="P267" s="7">
        <f>IFERROR(1/F267,"")</f>
        <v/>
      </c>
      <c r="Q267" s="7">
        <f>IF(OR(O267="",P267=""),"",O267-P267)</f>
        <v/>
      </c>
      <c r="R267" s="7">
        <f>IF(OR(O267="",F267=""),"",O267*F267-1)</f>
        <v/>
      </c>
      <c r="S267" s="2">
        <f>IF(C267="","",ROUND(100*(0.20*H267+0.15*I267+0.15*J267+0.25*K267+0.10*L267+0.05*M267+0.10*N267),0))</f>
        <v/>
      </c>
      <c r="T267" s="2">
        <f>IF(C267="","",IF(OR(F267&lt;PARAMETROS!$B$12,F267&gt;PARAMETROS!$B$13,G267&lt;PARAMETROS!$B$11),"NO APTO",IF(O267&lt;IF(F267&lt;1.6,CONFIG!$B$4,IF(F267&lt;1.7,CONFIG!$B$5,IF(F267&lt;1.8,CONFIG!$B$6,IF(F267&lt;2,CONFIG!$B$7,IF(F267&lt;2.2,CONFIG!$B$8,CONFIG!$B$9))))),"NO APTO",IF(R267&lt;PARAMETROS!$B$14,"NO APTO",IF(S267&gt;=PARAMETROS!$B$10,"ALERTA FUERTE",IF(S267&gt;=PARAMETROS!$B$9,"ALERTA MEDIA","NO APTO"))))))</f>
        <v/>
      </c>
      <c r="U267" s="2">
        <f>IF(T267="","",IF(T267="NO APTO","No cumple uno o más filtros",IF(T267="ALERTA FUERTE","Probabilidad, EV, muestra y score superan filtros","Cumple filtros con confianza media")))</f>
        <v/>
      </c>
    </row>
    <row r="268">
      <c r="A268" s="2">
        <f>IF(C268="","",ROW()-1)</f>
        <v/>
      </c>
      <c r="B268" s="2" t="n"/>
      <c r="C268" s="2" t="n"/>
      <c r="D268" s="2" t="n"/>
      <c r="E268" s="2" t="n"/>
      <c r="F268" s="6" t="n"/>
      <c r="G268" s="2" t="n"/>
      <c r="H268" s="7" t="n"/>
      <c r="I268" s="7" t="n"/>
      <c r="J268" s="7" t="n"/>
      <c r="K268" s="7" t="n"/>
      <c r="L268" s="7" t="n"/>
      <c r="M268" s="7" t="n"/>
      <c r="N268" s="7" t="n"/>
      <c r="O268" s="7">
        <f>IF(C268="","",MAX(0.05,MIN(0.95,0.20*H268+0.15*I268+0.15*J268+0.25*K268+0.10*L268+0.05*M268+0.10*N268)))</f>
        <v/>
      </c>
      <c r="P268" s="7">
        <f>IFERROR(1/F268,"")</f>
        <v/>
      </c>
      <c r="Q268" s="7">
        <f>IF(OR(O268="",P268=""),"",O268-P268)</f>
        <v/>
      </c>
      <c r="R268" s="7">
        <f>IF(OR(O268="",F268=""),"",O268*F268-1)</f>
        <v/>
      </c>
      <c r="S268" s="2">
        <f>IF(C268="","",ROUND(100*(0.20*H268+0.15*I268+0.15*J268+0.25*K268+0.10*L268+0.05*M268+0.10*N268),0))</f>
        <v/>
      </c>
      <c r="T268" s="2">
        <f>IF(C268="","",IF(OR(F268&lt;PARAMETROS!$B$12,F268&gt;PARAMETROS!$B$13,G268&lt;PARAMETROS!$B$11),"NO APTO",IF(O268&lt;IF(F268&lt;1.6,CONFIG!$B$4,IF(F268&lt;1.7,CONFIG!$B$5,IF(F268&lt;1.8,CONFIG!$B$6,IF(F268&lt;2,CONFIG!$B$7,IF(F268&lt;2.2,CONFIG!$B$8,CONFIG!$B$9))))),"NO APTO",IF(R268&lt;PARAMETROS!$B$14,"NO APTO",IF(S268&gt;=PARAMETROS!$B$10,"ALERTA FUERTE",IF(S268&gt;=PARAMETROS!$B$9,"ALERTA MEDIA","NO APTO"))))))</f>
        <v/>
      </c>
      <c r="U268" s="2">
        <f>IF(T268="","",IF(T268="NO APTO","No cumple uno o más filtros",IF(T268="ALERTA FUERTE","Probabilidad, EV, muestra y score superan filtros","Cumple filtros con confianza media")))</f>
        <v/>
      </c>
    </row>
    <row r="269">
      <c r="A269" s="2">
        <f>IF(C269="","",ROW()-1)</f>
        <v/>
      </c>
      <c r="B269" s="2" t="n"/>
      <c r="C269" s="2" t="n"/>
      <c r="D269" s="2" t="n"/>
      <c r="E269" s="2" t="n"/>
      <c r="F269" s="6" t="n"/>
      <c r="G269" s="2" t="n"/>
      <c r="H269" s="7" t="n"/>
      <c r="I269" s="7" t="n"/>
      <c r="J269" s="7" t="n"/>
      <c r="K269" s="7" t="n"/>
      <c r="L269" s="7" t="n"/>
      <c r="M269" s="7" t="n"/>
      <c r="N269" s="7" t="n"/>
      <c r="O269" s="7">
        <f>IF(C269="","",MAX(0.05,MIN(0.95,0.20*H269+0.15*I269+0.15*J269+0.25*K269+0.10*L269+0.05*M269+0.10*N269)))</f>
        <v/>
      </c>
      <c r="P269" s="7">
        <f>IFERROR(1/F269,"")</f>
        <v/>
      </c>
      <c r="Q269" s="7">
        <f>IF(OR(O269="",P269=""),"",O269-P269)</f>
        <v/>
      </c>
      <c r="R269" s="7">
        <f>IF(OR(O269="",F269=""),"",O269*F269-1)</f>
        <v/>
      </c>
      <c r="S269" s="2">
        <f>IF(C269="","",ROUND(100*(0.20*H269+0.15*I269+0.15*J269+0.25*K269+0.10*L269+0.05*M269+0.10*N269),0))</f>
        <v/>
      </c>
      <c r="T269" s="2">
        <f>IF(C269="","",IF(OR(F269&lt;PARAMETROS!$B$12,F269&gt;PARAMETROS!$B$13,G269&lt;PARAMETROS!$B$11),"NO APTO",IF(O269&lt;IF(F269&lt;1.6,CONFIG!$B$4,IF(F269&lt;1.7,CONFIG!$B$5,IF(F269&lt;1.8,CONFIG!$B$6,IF(F269&lt;2,CONFIG!$B$7,IF(F269&lt;2.2,CONFIG!$B$8,CONFIG!$B$9))))),"NO APTO",IF(R269&lt;PARAMETROS!$B$14,"NO APTO",IF(S269&gt;=PARAMETROS!$B$10,"ALERTA FUERTE",IF(S269&gt;=PARAMETROS!$B$9,"ALERTA MEDIA","NO APTO"))))))</f>
        <v/>
      </c>
      <c r="U269" s="2">
        <f>IF(T269="","",IF(T269="NO APTO","No cumple uno o más filtros",IF(T269="ALERTA FUERTE","Probabilidad, EV, muestra y score superan filtros","Cumple filtros con confianza media")))</f>
        <v/>
      </c>
    </row>
    <row r="270">
      <c r="A270" s="2">
        <f>IF(C270="","",ROW()-1)</f>
        <v/>
      </c>
      <c r="B270" s="2" t="n"/>
      <c r="C270" s="2" t="n"/>
      <c r="D270" s="2" t="n"/>
      <c r="E270" s="2" t="n"/>
      <c r="F270" s="6" t="n"/>
      <c r="G270" s="2" t="n"/>
      <c r="H270" s="7" t="n"/>
      <c r="I270" s="7" t="n"/>
      <c r="J270" s="7" t="n"/>
      <c r="K270" s="7" t="n"/>
      <c r="L270" s="7" t="n"/>
      <c r="M270" s="7" t="n"/>
      <c r="N270" s="7" t="n"/>
      <c r="O270" s="7">
        <f>IF(C270="","",MAX(0.05,MIN(0.95,0.20*H270+0.15*I270+0.15*J270+0.25*K270+0.10*L270+0.05*M270+0.10*N270)))</f>
        <v/>
      </c>
      <c r="P270" s="7">
        <f>IFERROR(1/F270,"")</f>
        <v/>
      </c>
      <c r="Q270" s="7">
        <f>IF(OR(O270="",P270=""),"",O270-P270)</f>
        <v/>
      </c>
      <c r="R270" s="7">
        <f>IF(OR(O270="",F270=""),"",O270*F270-1)</f>
        <v/>
      </c>
      <c r="S270" s="2">
        <f>IF(C270="","",ROUND(100*(0.20*H270+0.15*I270+0.15*J270+0.25*K270+0.10*L270+0.05*M270+0.10*N270),0))</f>
        <v/>
      </c>
      <c r="T270" s="2">
        <f>IF(C270="","",IF(OR(F270&lt;PARAMETROS!$B$12,F270&gt;PARAMETROS!$B$13,G270&lt;PARAMETROS!$B$11),"NO APTO",IF(O270&lt;IF(F270&lt;1.6,CONFIG!$B$4,IF(F270&lt;1.7,CONFIG!$B$5,IF(F270&lt;1.8,CONFIG!$B$6,IF(F270&lt;2,CONFIG!$B$7,IF(F270&lt;2.2,CONFIG!$B$8,CONFIG!$B$9))))),"NO APTO",IF(R270&lt;PARAMETROS!$B$14,"NO APTO",IF(S270&gt;=PARAMETROS!$B$10,"ALERTA FUERTE",IF(S270&gt;=PARAMETROS!$B$9,"ALERTA MEDIA","NO APTO"))))))</f>
        <v/>
      </c>
      <c r="U270" s="2">
        <f>IF(T270="","",IF(T270="NO APTO","No cumple uno o más filtros",IF(T270="ALERTA FUERTE","Probabilidad, EV, muestra y score superan filtros","Cumple filtros con confianza media")))</f>
        <v/>
      </c>
    </row>
    <row r="271">
      <c r="A271" s="2">
        <f>IF(C271="","",ROW()-1)</f>
        <v/>
      </c>
      <c r="B271" s="2" t="n"/>
      <c r="C271" s="2" t="n"/>
      <c r="D271" s="2" t="n"/>
      <c r="E271" s="2" t="n"/>
      <c r="F271" s="6" t="n"/>
      <c r="G271" s="2" t="n"/>
      <c r="H271" s="7" t="n"/>
      <c r="I271" s="7" t="n"/>
      <c r="J271" s="7" t="n"/>
      <c r="K271" s="7" t="n"/>
      <c r="L271" s="7" t="n"/>
      <c r="M271" s="7" t="n"/>
      <c r="N271" s="7" t="n"/>
      <c r="O271" s="7">
        <f>IF(C271="","",MAX(0.05,MIN(0.95,0.20*H271+0.15*I271+0.15*J271+0.25*K271+0.10*L271+0.05*M271+0.10*N271)))</f>
        <v/>
      </c>
      <c r="P271" s="7">
        <f>IFERROR(1/F271,"")</f>
        <v/>
      </c>
      <c r="Q271" s="7">
        <f>IF(OR(O271="",P271=""),"",O271-P271)</f>
        <v/>
      </c>
      <c r="R271" s="7">
        <f>IF(OR(O271="",F271=""),"",O271*F271-1)</f>
        <v/>
      </c>
      <c r="S271" s="2">
        <f>IF(C271="","",ROUND(100*(0.20*H271+0.15*I271+0.15*J271+0.25*K271+0.10*L271+0.05*M271+0.10*N271),0))</f>
        <v/>
      </c>
      <c r="T271" s="2">
        <f>IF(C271="","",IF(OR(F271&lt;PARAMETROS!$B$12,F271&gt;PARAMETROS!$B$13,G271&lt;PARAMETROS!$B$11),"NO APTO",IF(O271&lt;IF(F271&lt;1.6,CONFIG!$B$4,IF(F271&lt;1.7,CONFIG!$B$5,IF(F271&lt;1.8,CONFIG!$B$6,IF(F271&lt;2,CONFIG!$B$7,IF(F271&lt;2.2,CONFIG!$B$8,CONFIG!$B$9))))),"NO APTO",IF(R271&lt;PARAMETROS!$B$14,"NO APTO",IF(S271&gt;=PARAMETROS!$B$10,"ALERTA FUERTE",IF(S271&gt;=PARAMETROS!$B$9,"ALERTA MEDIA","NO APTO"))))))</f>
        <v/>
      </c>
      <c r="U271" s="2">
        <f>IF(T271="","",IF(T271="NO APTO","No cumple uno o más filtros",IF(T271="ALERTA FUERTE","Probabilidad, EV, muestra y score superan filtros","Cumple filtros con confianza media")))</f>
        <v/>
      </c>
    </row>
    <row r="272">
      <c r="A272" s="2">
        <f>IF(C272="","",ROW()-1)</f>
        <v/>
      </c>
      <c r="B272" s="2" t="n"/>
      <c r="C272" s="2" t="n"/>
      <c r="D272" s="2" t="n"/>
      <c r="E272" s="2" t="n"/>
      <c r="F272" s="6" t="n"/>
      <c r="G272" s="2" t="n"/>
      <c r="H272" s="7" t="n"/>
      <c r="I272" s="7" t="n"/>
      <c r="J272" s="7" t="n"/>
      <c r="K272" s="7" t="n"/>
      <c r="L272" s="7" t="n"/>
      <c r="M272" s="7" t="n"/>
      <c r="N272" s="7" t="n"/>
      <c r="O272" s="7">
        <f>IF(C272="","",MAX(0.05,MIN(0.95,0.20*H272+0.15*I272+0.15*J272+0.25*K272+0.10*L272+0.05*M272+0.10*N272)))</f>
        <v/>
      </c>
      <c r="P272" s="7">
        <f>IFERROR(1/F272,"")</f>
        <v/>
      </c>
      <c r="Q272" s="7">
        <f>IF(OR(O272="",P272=""),"",O272-P272)</f>
        <v/>
      </c>
      <c r="R272" s="7">
        <f>IF(OR(O272="",F272=""),"",O272*F272-1)</f>
        <v/>
      </c>
      <c r="S272" s="2">
        <f>IF(C272="","",ROUND(100*(0.20*H272+0.15*I272+0.15*J272+0.25*K272+0.10*L272+0.05*M272+0.10*N272),0))</f>
        <v/>
      </c>
      <c r="T272" s="2">
        <f>IF(C272="","",IF(OR(F272&lt;PARAMETROS!$B$12,F272&gt;PARAMETROS!$B$13,G272&lt;PARAMETROS!$B$11),"NO APTO",IF(O272&lt;IF(F272&lt;1.6,CONFIG!$B$4,IF(F272&lt;1.7,CONFIG!$B$5,IF(F272&lt;1.8,CONFIG!$B$6,IF(F272&lt;2,CONFIG!$B$7,IF(F272&lt;2.2,CONFIG!$B$8,CONFIG!$B$9))))),"NO APTO",IF(R272&lt;PARAMETROS!$B$14,"NO APTO",IF(S272&gt;=PARAMETROS!$B$10,"ALERTA FUERTE",IF(S272&gt;=PARAMETROS!$B$9,"ALERTA MEDIA","NO APTO"))))))</f>
        <v/>
      </c>
      <c r="U272" s="2">
        <f>IF(T272="","",IF(T272="NO APTO","No cumple uno o más filtros",IF(T272="ALERTA FUERTE","Probabilidad, EV, muestra y score superan filtros","Cumple filtros con confianza media")))</f>
        <v/>
      </c>
    </row>
    <row r="273">
      <c r="A273" s="2">
        <f>IF(C273="","",ROW()-1)</f>
        <v/>
      </c>
      <c r="B273" s="2" t="n"/>
      <c r="C273" s="2" t="n"/>
      <c r="D273" s="2" t="n"/>
      <c r="E273" s="2" t="n"/>
      <c r="F273" s="6" t="n"/>
      <c r="G273" s="2" t="n"/>
      <c r="H273" s="7" t="n"/>
      <c r="I273" s="7" t="n"/>
      <c r="J273" s="7" t="n"/>
      <c r="K273" s="7" t="n"/>
      <c r="L273" s="7" t="n"/>
      <c r="M273" s="7" t="n"/>
      <c r="N273" s="7" t="n"/>
      <c r="O273" s="7">
        <f>IF(C273="","",MAX(0.05,MIN(0.95,0.20*H273+0.15*I273+0.15*J273+0.25*K273+0.10*L273+0.05*M273+0.10*N273)))</f>
        <v/>
      </c>
      <c r="P273" s="7">
        <f>IFERROR(1/F273,"")</f>
        <v/>
      </c>
      <c r="Q273" s="7">
        <f>IF(OR(O273="",P273=""),"",O273-P273)</f>
        <v/>
      </c>
      <c r="R273" s="7">
        <f>IF(OR(O273="",F273=""),"",O273*F273-1)</f>
        <v/>
      </c>
      <c r="S273" s="2">
        <f>IF(C273="","",ROUND(100*(0.20*H273+0.15*I273+0.15*J273+0.25*K273+0.10*L273+0.05*M273+0.10*N273),0))</f>
        <v/>
      </c>
      <c r="T273" s="2">
        <f>IF(C273="","",IF(OR(F273&lt;PARAMETROS!$B$12,F273&gt;PARAMETROS!$B$13,G273&lt;PARAMETROS!$B$11),"NO APTO",IF(O273&lt;IF(F273&lt;1.6,CONFIG!$B$4,IF(F273&lt;1.7,CONFIG!$B$5,IF(F273&lt;1.8,CONFIG!$B$6,IF(F273&lt;2,CONFIG!$B$7,IF(F273&lt;2.2,CONFIG!$B$8,CONFIG!$B$9))))),"NO APTO",IF(R273&lt;PARAMETROS!$B$14,"NO APTO",IF(S273&gt;=PARAMETROS!$B$10,"ALERTA FUERTE",IF(S273&gt;=PARAMETROS!$B$9,"ALERTA MEDIA","NO APTO"))))))</f>
        <v/>
      </c>
      <c r="U273" s="2">
        <f>IF(T273="","",IF(T273="NO APTO","No cumple uno o más filtros",IF(T273="ALERTA FUERTE","Probabilidad, EV, muestra y score superan filtros","Cumple filtros con confianza media")))</f>
        <v/>
      </c>
    </row>
    <row r="274">
      <c r="A274" s="2">
        <f>IF(C274="","",ROW()-1)</f>
        <v/>
      </c>
      <c r="B274" s="2" t="n"/>
      <c r="C274" s="2" t="n"/>
      <c r="D274" s="2" t="n"/>
      <c r="E274" s="2" t="n"/>
      <c r="F274" s="6" t="n"/>
      <c r="G274" s="2" t="n"/>
      <c r="H274" s="7" t="n"/>
      <c r="I274" s="7" t="n"/>
      <c r="J274" s="7" t="n"/>
      <c r="K274" s="7" t="n"/>
      <c r="L274" s="7" t="n"/>
      <c r="M274" s="7" t="n"/>
      <c r="N274" s="7" t="n"/>
      <c r="O274" s="7">
        <f>IF(C274="","",MAX(0.05,MIN(0.95,0.20*H274+0.15*I274+0.15*J274+0.25*K274+0.10*L274+0.05*M274+0.10*N274)))</f>
        <v/>
      </c>
      <c r="P274" s="7">
        <f>IFERROR(1/F274,"")</f>
        <v/>
      </c>
      <c r="Q274" s="7">
        <f>IF(OR(O274="",P274=""),"",O274-P274)</f>
        <v/>
      </c>
      <c r="R274" s="7">
        <f>IF(OR(O274="",F274=""),"",O274*F274-1)</f>
        <v/>
      </c>
      <c r="S274" s="2">
        <f>IF(C274="","",ROUND(100*(0.20*H274+0.15*I274+0.15*J274+0.25*K274+0.10*L274+0.05*M274+0.10*N274),0))</f>
        <v/>
      </c>
      <c r="T274" s="2">
        <f>IF(C274="","",IF(OR(F274&lt;PARAMETROS!$B$12,F274&gt;PARAMETROS!$B$13,G274&lt;PARAMETROS!$B$11),"NO APTO",IF(O274&lt;IF(F274&lt;1.6,CONFIG!$B$4,IF(F274&lt;1.7,CONFIG!$B$5,IF(F274&lt;1.8,CONFIG!$B$6,IF(F274&lt;2,CONFIG!$B$7,IF(F274&lt;2.2,CONFIG!$B$8,CONFIG!$B$9))))),"NO APTO",IF(R274&lt;PARAMETROS!$B$14,"NO APTO",IF(S274&gt;=PARAMETROS!$B$10,"ALERTA FUERTE",IF(S274&gt;=PARAMETROS!$B$9,"ALERTA MEDIA","NO APTO"))))))</f>
        <v/>
      </c>
      <c r="U274" s="2">
        <f>IF(T274="","",IF(T274="NO APTO","No cumple uno o más filtros",IF(T274="ALERTA FUERTE","Probabilidad, EV, muestra y score superan filtros","Cumple filtros con confianza media")))</f>
        <v/>
      </c>
    </row>
    <row r="275">
      <c r="A275" s="2">
        <f>IF(C275="","",ROW()-1)</f>
        <v/>
      </c>
      <c r="B275" s="2" t="n"/>
      <c r="C275" s="2" t="n"/>
      <c r="D275" s="2" t="n"/>
      <c r="E275" s="2" t="n"/>
      <c r="F275" s="6" t="n"/>
      <c r="G275" s="2" t="n"/>
      <c r="H275" s="7" t="n"/>
      <c r="I275" s="7" t="n"/>
      <c r="J275" s="7" t="n"/>
      <c r="K275" s="7" t="n"/>
      <c r="L275" s="7" t="n"/>
      <c r="M275" s="7" t="n"/>
      <c r="N275" s="7" t="n"/>
      <c r="O275" s="7">
        <f>IF(C275="","",MAX(0.05,MIN(0.95,0.20*H275+0.15*I275+0.15*J275+0.25*K275+0.10*L275+0.05*M275+0.10*N275)))</f>
        <v/>
      </c>
      <c r="P275" s="7">
        <f>IFERROR(1/F275,"")</f>
        <v/>
      </c>
      <c r="Q275" s="7">
        <f>IF(OR(O275="",P275=""),"",O275-P275)</f>
        <v/>
      </c>
      <c r="R275" s="7">
        <f>IF(OR(O275="",F275=""),"",O275*F275-1)</f>
        <v/>
      </c>
      <c r="S275" s="2">
        <f>IF(C275="","",ROUND(100*(0.20*H275+0.15*I275+0.15*J275+0.25*K275+0.10*L275+0.05*M275+0.10*N275),0))</f>
        <v/>
      </c>
      <c r="T275" s="2">
        <f>IF(C275="","",IF(OR(F275&lt;PARAMETROS!$B$12,F275&gt;PARAMETROS!$B$13,G275&lt;PARAMETROS!$B$11),"NO APTO",IF(O275&lt;IF(F275&lt;1.6,CONFIG!$B$4,IF(F275&lt;1.7,CONFIG!$B$5,IF(F275&lt;1.8,CONFIG!$B$6,IF(F275&lt;2,CONFIG!$B$7,IF(F275&lt;2.2,CONFIG!$B$8,CONFIG!$B$9))))),"NO APTO",IF(R275&lt;PARAMETROS!$B$14,"NO APTO",IF(S275&gt;=PARAMETROS!$B$10,"ALERTA FUERTE",IF(S275&gt;=PARAMETROS!$B$9,"ALERTA MEDIA","NO APTO"))))))</f>
        <v/>
      </c>
      <c r="U275" s="2">
        <f>IF(T275="","",IF(T275="NO APTO","No cumple uno o más filtros",IF(T275="ALERTA FUERTE","Probabilidad, EV, muestra y score superan filtros","Cumple filtros con confianza media")))</f>
        <v/>
      </c>
    </row>
    <row r="276">
      <c r="A276" s="2">
        <f>IF(C276="","",ROW()-1)</f>
        <v/>
      </c>
      <c r="B276" s="2" t="n"/>
      <c r="C276" s="2" t="n"/>
      <c r="D276" s="2" t="n"/>
      <c r="E276" s="2" t="n"/>
      <c r="F276" s="6" t="n"/>
      <c r="G276" s="2" t="n"/>
      <c r="H276" s="7" t="n"/>
      <c r="I276" s="7" t="n"/>
      <c r="J276" s="7" t="n"/>
      <c r="K276" s="7" t="n"/>
      <c r="L276" s="7" t="n"/>
      <c r="M276" s="7" t="n"/>
      <c r="N276" s="7" t="n"/>
      <c r="O276" s="7">
        <f>IF(C276="","",MAX(0.05,MIN(0.95,0.20*H276+0.15*I276+0.15*J276+0.25*K276+0.10*L276+0.05*M276+0.10*N276)))</f>
        <v/>
      </c>
      <c r="P276" s="7">
        <f>IFERROR(1/F276,"")</f>
        <v/>
      </c>
      <c r="Q276" s="7">
        <f>IF(OR(O276="",P276=""),"",O276-P276)</f>
        <v/>
      </c>
      <c r="R276" s="7">
        <f>IF(OR(O276="",F276=""),"",O276*F276-1)</f>
        <v/>
      </c>
      <c r="S276" s="2">
        <f>IF(C276="","",ROUND(100*(0.20*H276+0.15*I276+0.15*J276+0.25*K276+0.10*L276+0.05*M276+0.10*N276),0))</f>
        <v/>
      </c>
      <c r="T276" s="2">
        <f>IF(C276="","",IF(OR(F276&lt;PARAMETROS!$B$12,F276&gt;PARAMETROS!$B$13,G276&lt;PARAMETROS!$B$11),"NO APTO",IF(O276&lt;IF(F276&lt;1.6,CONFIG!$B$4,IF(F276&lt;1.7,CONFIG!$B$5,IF(F276&lt;1.8,CONFIG!$B$6,IF(F276&lt;2,CONFIG!$B$7,IF(F276&lt;2.2,CONFIG!$B$8,CONFIG!$B$9))))),"NO APTO",IF(R276&lt;PARAMETROS!$B$14,"NO APTO",IF(S276&gt;=PARAMETROS!$B$10,"ALERTA FUERTE",IF(S276&gt;=PARAMETROS!$B$9,"ALERTA MEDIA","NO APTO"))))))</f>
        <v/>
      </c>
      <c r="U276" s="2">
        <f>IF(T276="","",IF(T276="NO APTO","No cumple uno o más filtros",IF(T276="ALERTA FUERTE","Probabilidad, EV, muestra y score superan filtros","Cumple filtros con confianza media")))</f>
        <v/>
      </c>
    </row>
    <row r="277">
      <c r="A277" s="2">
        <f>IF(C277="","",ROW()-1)</f>
        <v/>
      </c>
      <c r="B277" s="2" t="n"/>
      <c r="C277" s="2" t="n"/>
      <c r="D277" s="2" t="n"/>
      <c r="E277" s="2" t="n"/>
      <c r="F277" s="6" t="n"/>
      <c r="G277" s="2" t="n"/>
      <c r="H277" s="7" t="n"/>
      <c r="I277" s="7" t="n"/>
      <c r="J277" s="7" t="n"/>
      <c r="K277" s="7" t="n"/>
      <c r="L277" s="7" t="n"/>
      <c r="M277" s="7" t="n"/>
      <c r="N277" s="7" t="n"/>
      <c r="O277" s="7">
        <f>IF(C277="","",MAX(0.05,MIN(0.95,0.20*H277+0.15*I277+0.15*J277+0.25*K277+0.10*L277+0.05*M277+0.10*N277)))</f>
        <v/>
      </c>
      <c r="P277" s="7">
        <f>IFERROR(1/F277,"")</f>
        <v/>
      </c>
      <c r="Q277" s="7">
        <f>IF(OR(O277="",P277=""),"",O277-P277)</f>
        <v/>
      </c>
      <c r="R277" s="7">
        <f>IF(OR(O277="",F277=""),"",O277*F277-1)</f>
        <v/>
      </c>
      <c r="S277" s="2">
        <f>IF(C277="","",ROUND(100*(0.20*H277+0.15*I277+0.15*J277+0.25*K277+0.10*L277+0.05*M277+0.10*N277),0))</f>
        <v/>
      </c>
      <c r="T277" s="2">
        <f>IF(C277="","",IF(OR(F277&lt;PARAMETROS!$B$12,F277&gt;PARAMETROS!$B$13,G277&lt;PARAMETROS!$B$11),"NO APTO",IF(O277&lt;IF(F277&lt;1.6,CONFIG!$B$4,IF(F277&lt;1.7,CONFIG!$B$5,IF(F277&lt;1.8,CONFIG!$B$6,IF(F277&lt;2,CONFIG!$B$7,IF(F277&lt;2.2,CONFIG!$B$8,CONFIG!$B$9))))),"NO APTO",IF(R277&lt;PARAMETROS!$B$14,"NO APTO",IF(S277&gt;=PARAMETROS!$B$10,"ALERTA FUERTE",IF(S277&gt;=PARAMETROS!$B$9,"ALERTA MEDIA","NO APTO"))))))</f>
        <v/>
      </c>
      <c r="U277" s="2">
        <f>IF(T277="","",IF(T277="NO APTO","No cumple uno o más filtros",IF(T277="ALERTA FUERTE","Probabilidad, EV, muestra y score superan filtros","Cumple filtros con confianza media")))</f>
        <v/>
      </c>
    </row>
    <row r="278">
      <c r="A278" s="2">
        <f>IF(C278="","",ROW()-1)</f>
        <v/>
      </c>
      <c r="B278" s="2" t="n"/>
      <c r="C278" s="2" t="n"/>
      <c r="D278" s="2" t="n"/>
      <c r="E278" s="2" t="n"/>
      <c r="F278" s="6" t="n"/>
      <c r="G278" s="2" t="n"/>
      <c r="H278" s="7" t="n"/>
      <c r="I278" s="7" t="n"/>
      <c r="J278" s="7" t="n"/>
      <c r="K278" s="7" t="n"/>
      <c r="L278" s="7" t="n"/>
      <c r="M278" s="7" t="n"/>
      <c r="N278" s="7" t="n"/>
      <c r="O278" s="7">
        <f>IF(C278="","",MAX(0.05,MIN(0.95,0.20*H278+0.15*I278+0.15*J278+0.25*K278+0.10*L278+0.05*M278+0.10*N278)))</f>
        <v/>
      </c>
      <c r="P278" s="7">
        <f>IFERROR(1/F278,"")</f>
        <v/>
      </c>
      <c r="Q278" s="7">
        <f>IF(OR(O278="",P278=""),"",O278-P278)</f>
        <v/>
      </c>
      <c r="R278" s="7">
        <f>IF(OR(O278="",F278=""),"",O278*F278-1)</f>
        <v/>
      </c>
      <c r="S278" s="2">
        <f>IF(C278="","",ROUND(100*(0.20*H278+0.15*I278+0.15*J278+0.25*K278+0.10*L278+0.05*M278+0.10*N278),0))</f>
        <v/>
      </c>
      <c r="T278" s="2">
        <f>IF(C278="","",IF(OR(F278&lt;PARAMETROS!$B$12,F278&gt;PARAMETROS!$B$13,G278&lt;PARAMETROS!$B$11),"NO APTO",IF(O278&lt;IF(F278&lt;1.6,CONFIG!$B$4,IF(F278&lt;1.7,CONFIG!$B$5,IF(F278&lt;1.8,CONFIG!$B$6,IF(F278&lt;2,CONFIG!$B$7,IF(F278&lt;2.2,CONFIG!$B$8,CONFIG!$B$9))))),"NO APTO",IF(R278&lt;PARAMETROS!$B$14,"NO APTO",IF(S278&gt;=PARAMETROS!$B$10,"ALERTA FUERTE",IF(S278&gt;=PARAMETROS!$B$9,"ALERTA MEDIA","NO APTO"))))))</f>
        <v/>
      </c>
      <c r="U278" s="2">
        <f>IF(T278="","",IF(T278="NO APTO","No cumple uno o más filtros",IF(T278="ALERTA FUERTE","Probabilidad, EV, muestra y score superan filtros","Cumple filtros con confianza media")))</f>
        <v/>
      </c>
    </row>
    <row r="279">
      <c r="A279" s="2">
        <f>IF(C279="","",ROW()-1)</f>
        <v/>
      </c>
      <c r="B279" s="2" t="n"/>
      <c r="C279" s="2" t="n"/>
      <c r="D279" s="2" t="n"/>
      <c r="E279" s="2" t="n"/>
      <c r="F279" s="6" t="n"/>
      <c r="G279" s="2" t="n"/>
      <c r="H279" s="7" t="n"/>
      <c r="I279" s="7" t="n"/>
      <c r="J279" s="7" t="n"/>
      <c r="K279" s="7" t="n"/>
      <c r="L279" s="7" t="n"/>
      <c r="M279" s="7" t="n"/>
      <c r="N279" s="7" t="n"/>
      <c r="O279" s="7">
        <f>IF(C279="","",MAX(0.05,MIN(0.95,0.20*H279+0.15*I279+0.15*J279+0.25*K279+0.10*L279+0.05*M279+0.10*N279)))</f>
        <v/>
      </c>
      <c r="P279" s="7">
        <f>IFERROR(1/F279,"")</f>
        <v/>
      </c>
      <c r="Q279" s="7">
        <f>IF(OR(O279="",P279=""),"",O279-P279)</f>
        <v/>
      </c>
      <c r="R279" s="7">
        <f>IF(OR(O279="",F279=""),"",O279*F279-1)</f>
        <v/>
      </c>
      <c r="S279" s="2">
        <f>IF(C279="","",ROUND(100*(0.20*H279+0.15*I279+0.15*J279+0.25*K279+0.10*L279+0.05*M279+0.10*N279),0))</f>
        <v/>
      </c>
      <c r="T279" s="2">
        <f>IF(C279="","",IF(OR(F279&lt;PARAMETROS!$B$12,F279&gt;PARAMETROS!$B$13,G279&lt;PARAMETROS!$B$11),"NO APTO",IF(O279&lt;IF(F279&lt;1.6,CONFIG!$B$4,IF(F279&lt;1.7,CONFIG!$B$5,IF(F279&lt;1.8,CONFIG!$B$6,IF(F279&lt;2,CONFIG!$B$7,IF(F279&lt;2.2,CONFIG!$B$8,CONFIG!$B$9))))),"NO APTO",IF(R279&lt;PARAMETROS!$B$14,"NO APTO",IF(S279&gt;=PARAMETROS!$B$10,"ALERTA FUERTE",IF(S279&gt;=PARAMETROS!$B$9,"ALERTA MEDIA","NO APTO"))))))</f>
        <v/>
      </c>
      <c r="U279" s="2">
        <f>IF(T279="","",IF(T279="NO APTO","No cumple uno o más filtros",IF(T279="ALERTA FUERTE","Probabilidad, EV, muestra y score superan filtros","Cumple filtros con confianza media")))</f>
        <v/>
      </c>
    </row>
    <row r="280">
      <c r="A280" s="2">
        <f>IF(C280="","",ROW()-1)</f>
        <v/>
      </c>
      <c r="B280" s="2" t="n"/>
      <c r="C280" s="2" t="n"/>
      <c r="D280" s="2" t="n"/>
      <c r="E280" s="2" t="n"/>
      <c r="F280" s="6" t="n"/>
      <c r="G280" s="2" t="n"/>
      <c r="H280" s="7" t="n"/>
      <c r="I280" s="7" t="n"/>
      <c r="J280" s="7" t="n"/>
      <c r="K280" s="7" t="n"/>
      <c r="L280" s="7" t="n"/>
      <c r="M280" s="7" t="n"/>
      <c r="N280" s="7" t="n"/>
      <c r="O280" s="7">
        <f>IF(C280="","",MAX(0.05,MIN(0.95,0.20*H280+0.15*I280+0.15*J280+0.25*K280+0.10*L280+0.05*M280+0.10*N280)))</f>
        <v/>
      </c>
      <c r="P280" s="7">
        <f>IFERROR(1/F280,"")</f>
        <v/>
      </c>
      <c r="Q280" s="7">
        <f>IF(OR(O280="",P280=""),"",O280-P280)</f>
        <v/>
      </c>
      <c r="R280" s="7">
        <f>IF(OR(O280="",F280=""),"",O280*F280-1)</f>
        <v/>
      </c>
      <c r="S280" s="2">
        <f>IF(C280="","",ROUND(100*(0.20*H280+0.15*I280+0.15*J280+0.25*K280+0.10*L280+0.05*M280+0.10*N280),0))</f>
        <v/>
      </c>
      <c r="T280" s="2">
        <f>IF(C280="","",IF(OR(F280&lt;PARAMETROS!$B$12,F280&gt;PARAMETROS!$B$13,G280&lt;PARAMETROS!$B$11),"NO APTO",IF(O280&lt;IF(F280&lt;1.6,CONFIG!$B$4,IF(F280&lt;1.7,CONFIG!$B$5,IF(F280&lt;1.8,CONFIG!$B$6,IF(F280&lt;2,CONFIG!$B$7,IF(F280&lt;2.2,CONFIG!$B$8,CONFIG!$B$9))))),"NO APTO",IF(R280&lt;PARAMETROS!$B$14,"NO APTO",IF(S280&gt;=PARAMETROS!$B$10,"ALERTA FUERTE",IF(S280&gt;=PARAMETROS!$B$9,"ALERTA MEDIA","NO APTO"))))))</f>
        <v/>
      </c>
      <c r="U280" s="2">
        <f>IF(T280="","",IF(T280="NO APTO","No cumple uno o más filtros",IF(T280="ALERTA FUERTE","Probabilidad, EV, muestra y score superan filtros","Cumple filtros con confianza media")))</f>
        <v/>
      </c>
    </row>
    <row r="281">
      <c r="A281" s="2">
        <f>IF(C281="","",ROW()-1)</f>
        <v/>
      </c>
      <c r="B281" s="2" t="n"/>
      <c r="C281" s="2" t="n"/>
      <c r="D281" s="2" t="n"/>
      <c r="E281" s="2" t="n"/>
      <c r="F281" s="6" t="n"/>
      <c r="G281" s="2" t="n"/>
      <c r="H281" s="7" t="n"/>
      <c r="I281" s="7" t="n"/>
      <c r="J281" s="7" t="n"/>
      <c r="K281" s="7" t="n"/>
      <c r="L281" s="7" t="n"/>
      <c r="M281" s="7" t="n"/>
      <c r="N281" s="7" t="n"/>
      <c r="O281" s="7">
        <f>IF(C281="","",MAX(0.05,MIN(0.95,0.20*H281+0.15*I281+0.15*J281+0.25*K281+0.10*L281+0.05*M281+0.10*N281)))</f>
        <v/>
      </c>
      <c r="P281" s="7">
        <f>IFERROR(1/F281,"")</f>
        <v/>
      </c>
      <c r="Q281" s="7">
        <f>IF(OR(O281="",P281=""),"",O281-P281)</f>
        <v/>
      </c>
      <c r="R281" s="7">
        <f>IF(OR(O281="",F281=""),"",O281*F281-1)</f>
        <v/>
      </c>
      <c r="S281" s="2">
        <f>IF(C281="","",ROUND(100*(0.20*H281+0.15*I281+0.15*J281+0.25*K281+0.10*L281+0.05*M281+0.10*N281),0))</f>
        <v/>
      </c>
      <c r="T281" s="2">
        <f>IF(C281="","",IF(OR(F281&lt;PARAMETROS!$B$12,F281&gt;PARAMETROS!$B$13,G281&lt;PARAMETROS!$B$11),"NO APTO",IF(O281&lt;IF(F281&lt;1.6,CONFIG!$B$4,IF(F281&lt;1.7,CONFIG!$B$5,IF(F281&lt;1.8,CONFIG!$B$6,IF(F281&lt;2,CONFIG!$B$7,IF(F281&lt;2.2,CONFIG!$B$8,CONFIG!$B$9))))),"NO APTO",IF(R281&lt;PARAMETROS!$B$14,"NO APTO",IF(S281&gt;=PARAMETROS!$B$10,"ALERTA FUERTE",IF(S281&gt;=PARAMETROS!$B$9,"ALERTA MEDIA","NO APTO"))))))</f>
        <v/>
      </c>
      <c r="U281" s="2">
        <f>IF(T281="","",IF(T281="NO APTO","No cumple uno o más filtros",IF(T281="ALERTA FUERTE","Probabilidad, EV, muestra y score superan filtros","Cumple filtros con confianza media")))</f>
        <v/>
      </c>
    </row>
    <row r="282">
      <c r="A282" s="2">
        <f>IF(C282="","",ROW()-1)</f>
        <v/>
      </c>
      <c r="B282" s="2" t="n"/>
      <c r="C282" s="2" t="n"/>
      <c r="D282" s="2" t="n"/>
      <c r="E282" s="2" t="n"/>
      <c r="F282" s="6" t="n"/>
      <c r="G282" s="2" t="n"/>
      <c r="H282" s="7" t="n"/>
      <c r="I282" s="7" t="n"/>
      <c r="J282" s="7" t="n"/>
      <c r="K282" s="7" t="n"/>
      <c r="L282" s="7" t="n"/>
      <c r="M282" s="7" t="n"/>
      <c r="N282" s="7" t="n"/>
      <c r="O282" s="7">
        <f>IF(C282="","",MAX(0.05,MIN(0.95,0.20*H282+0.15*I282+0.15*J282+0.25*K282+0.10*L282+0.05*M282+0.10*N282)))</f>
        <v/>
      </c>
      <c r="P282" s="7">
        <f>IFERROR(1/F282,"")</f>
        <v/>
      </c>
      <c r="Q282" s="7">
        <f>IF(OR(O282="",P282=""),"",O282-P282)</f>
        <v/>
      </c>
      <c r="R282" s="7">
        <f>IF(OR(O282="",F282=""),"",O282*F282-1)</f>
        <v/>
      </c>
      <c r="S282" s="2">
        <f>IF(C282="","",ROUND(100*(0.20*H282+0.15*I282+0.15*J282+0.25*K282+0.10*L282+0.05*M282+0.10*N282),0))</f>
        <v/>
      </c>
      <c r="T282" s="2">
        <f>IF(C282="","",IF(OR(F282&lt;PARAMETROS!$B$12,F282&gt;PARAMETROS!$B$13,G282&lt;PARAMETROS!$B$11),"NO APTO",IF(O282&lt;IF(F282&lt;1.6,CONFIG!$B$4,IF(F282&lt;1.7,CONFIG!$B$5,IF(F282&lt;1.8,CONFIG!$B$6,IF(F282&lt;2,CONFIG!$B$7,IF(F282&lt;2.2,CONFIG!$B$8,CONFIG!$B$9))))),"NO APTO",IF(R282&lt;PARAMETROS!$B$14,"NO APTO",IF(S282&gt;=PARAMETROS!$B$10,"ALERTA FUERTE",IF(S282&gt;=PARAMETROS!$B$9,"ALERTA MEDIA","NO APTO"))))))</f>
        <v/>
      </c>
      <c r="U282" s="2">
        <f>IF(T282="","",IF(T282="NO APTO","No cumple uno o más filtros",IF(T282="ALERTA FUERTE","Probabilidad, EV, muestra y score superan filtros","Cumple filtros con confianza media")))</f>
        <v/>
      </c>
    </row>
    <row r="283">
      <c r="A283" s="2">
        <f>IF(C283="","",ROW()-1)</f>
        <v/>
      </c>
      <c r="B283" s="2" t="n"/>
      <c r="C283" s="2" t="n"/>
      <c r="D283" s="2" t="n"/>
      <c r="E283" s="2" t="n"/>
      <c r="F283" s="6" t="n"/>
      <c r="G283" s="2" t="n"/>
      <c r="H283" s="7" t="n"/>
      <c r="I283" s="7" t="n"/>
      <c r="J283" s="7" t="n"/>
      <c r="K283" s="7" t="n"/>
      <c r="L283" s="7" t="n"/>
      <c r="M283" s="7" t="n"/>
      <c r="N283" s="7" t="n"/>
      <c r="O283" s="7">
        <f>IF(C283="","",MAX(0.05,MIN(0.95,0.20*H283+0.15*I283+0.15*J283+0.25*K283+0.10*L283+0.05*M283+0.10*N283)))</f>
        <v/>
      </c>
      <c r="P283" s="7">
        <f>IFERROR(1/F283,"")</f>
        <v/>
      </c>
      <c r="Q283" s="7">
        <f>IF(OR(O283="",P283=""),"",O283-P283)</f>
        <v/>
      </c>
      <c r="R283" s="7">
        <f>IF(OR(O283="",F283=""),"",O283*F283-1)</f>
        <v/>
      </c>
      <c r="S283" s="2">
        <f>IF(C283="","",ROUND(100*(0.20*H283+0.15*I283+0.15*J283+0.25*K283+0.10*L283+0.05*M283+0.10*N283),0))</f>
        <v/>
      </c>
      <c r="T283" s="2">
        <f>IF(C283="","",IF(OR(F283&lt;PARAMETROS!$B$12,F283&gt;PARAMETROS!$B$13,G283&lt;PARAMETROS!$B$11),"NO APTO",IF(O283&lt;IF(F283&lt;1.6,CONFIG!$B$4,IF(F283&lt;1.7,CONFIG!$B$5,IF(F283&lt;1.8,CONFIG!$B$6,IF(F283&lt;2,CONFIG!$B$7,IF(F283&lt;2.2,CONFIG!$B$8,CONFIG!$B$9))))),"NO APTO",IF(R283&lt;PARAMETROS!$B$14,"NO APTO",IF(S283&gt;=PARAMETROS!$B$10,"ALERTA FUERTE",IF(S283&gt;=PARAMETROS!$B$9,"ALERTA MEDIA","NO APTO"))))))</f>
        <v/>
      </c>
      <c r="U283" s="2">
        <f>IF(T283="","",IF(T283="NO APTO","No cumple uno o más filtros",IF(T283="ALERTA FUERTE","Probabilidad, EV, muestra y score superan filtros","Cumple filtros con confianza media")))</f>
        <v/>
      </c>
    </row>
    <row r="284">
      <c r="A284" s="2">
        <f>IF(C284="","",ROW()-1)</f>
        <v/>
      </c>
      <c r="B284" s="2" t="n"/>
      <c r="C284" s="2" t="n"/>
      <c r="D284" s="2" t="n"/>
      <c r="E284" s="2" t="n"/>
      <c r="F284" s="6" t="n"/>
      <c r="G284" s="2" t="n"/>
      <c r="H284" s="7" t="n"/>
      <c r="I284" s="7" t="n"/>
      <c r="J284" s="7" t="n"/>
      <c r="K284" s="7" t="n"/>
      <c r="L284" s="7" t="n"/>
      <c r="M284" s="7" t="n"/>
      <c r="N284" s="7" t="n"/>
      <c r="O284" s="7">
        <f>IF(C284="","",MAX(0.05,MIN(0.95,0.20*H284+0.15*I284+0.15*J284+0.25*K284+0.10*L284+0.05*M284+0.10*N284)))</f>
        <v/>
      </c>
      <c r="P284" s="7">
        <f>IFERROR(1/F284,"")</f>
        <v/>
      </c>
      <c r="Q284" s="7">
        <f>IF(OR(O284="",P284=""),"",O284-P284)</f>
        <v/>
      </c>
      <c r="R284" s="7">
        <f>IF(OR(O284="",F284=""),"",O284*F284-1)</f>
        <v/>
      </c>
      <c r="S284" s="2">
        <f>IF(C284="","",ROUND(100*(0.20*H284+0.15*I284+0.15*J284+0.25*K284+0.10*L284+0.05*M284+0.10*N284),0))</f>
        <v/>
      </c>
      <c r="T284" s="2">
        <f>IF(C284="","",IF(OR(F284&lt;PARAMETROS!$B$12,F284&gt;PARAMETROS!$B$13,G284&lt;PARAMETROS!$B$11),"NO APTO",IF(O284&lt;IF(F284&lt;1.6,CONFIG!$B$4,IF(F284&lt;1.7,CONFIG!$B$5,IF(F284&lt;1.8,CONFIG!$B$6,IF(F284&lt;2,CONFIG!$B$7,IF(F284&lt;2.2,CONFIG!$B$8,CONFIG!$B$9))))),"NO APTO",IF(R284&lt;PARAMETROS!$B$14,"NO APTO",IF(S284&gt;=PARAMETROS!$B$10,"ALERTA FUERTE",IF(S284&gt;=PARAMETROS!$B$9,"ALERTA MEDIA","NO APTO"))))))</f>
        <v/>
      </c>
      <c r="U284" s="2">
        <f>IF(T284="","",IF(T284="NO APTO","No cumple uno o más filtros",IF(T284="ALERTA FUERTE","Probabilidad, EV, muestra y score superan filtros","Cumple filtros con confianza media")))</f>
        <v/>
      </c>
    </row>
    <row r="285">
      <c r="A285" s="2">
        <f>IF(C285="","",ROW()-1)</f>
        <v/>
      </c>
      <c r="B285" s="2" t="n"/>
      <c r="C285" s="2" t="n"/>
      <c r="D285" s="2" t="n"/>
      <c r="E285" s="2" t="n"/>
      <c r="F285" s="6" t="n"/>
      <c r="G285" s="2" t="n"/>
      <c r="H285" s="7" t="n"/>
      <c r="I285" s="7" t="n"/>
      <c r="J285" s="7" t="n"/>
      <c r="K285" s="7" t="n"/>
      <c r="L285" s="7" t="n"/>
      <c r="M285" s="7" t="n"/>
      <c r="N285" s="7" t="n"/>
      <c r="O285" s="7">
        <f>IF(C285="","",MAX(0.05,MIN(0.95,0.20*H285+0.15*I285+0.15*J285+0.25*K285+0.10*L285+0.05*M285+0.10*N285)))</f>
        <v/>
      </c>
      <c r="P285" s="7">
        <f>IFERROR(1/F285,"")</f>
        <v/>
      </c>
      <c r="Q285" s="7">
        <f>IF(OR(O285="",P285=""),"",O285-P285)</f>
        <v/>
      </c>
      <c r="R285" s="7">
        <f>IF(OR(O285="",F285=""),"",O285*F285-1)</f>
        <v/>
      </c>
      <c r="S285" s="2">
        <f>IF(C285="","",ROUND(100*(0.20*H285+0.15*I285+0.15*J285+0.25*K285+0.10*L285+0.05*M285+0.10*N285),0))</f>
        <v/>
      </c>
      <c r="T285" s="2">
        <f>IF(C285="","",IF(OR(F285&lt;PARAMETROS!$B$12,F285&gt;PARAMETROS!$B$13,G285&lt;PARAMETROS!$B$11),"NO APTO",IF(O285&lt;IF(F285&lt;1.6,CONFIG!$B$4,IF(F285&lt;1.7,CONFIG!$B$5,IF(F285&lt;1.8,CONFIG!$B$6,IF(F285&lt;2,CONFIG!$B$7,IF(F285&lt;2.2,CONFIG!$B$8,CONFIG!$B$9))))),"NO APTO",IF(R285&lt;PARAMETROS!$B$14,"NO APTO",IF(S285&gt;=PARAMETROS!$B$10,"ALERTA FUERTE",IF(S285&gt;=PARAMETROS!$B$9,"ALERTA MEDIA","NO APTO"))))))</f>
        <v/>
      </c>
      <c r="U285" s="2">
        <f>IF(T285="","",IF(T285="NO APTO","No cumple uno o más filtros",IF(T285="ALERTA FUERTE","Probabilidad, EV, muestra y score superan filtros","Cumple filtros con confianza media")))</f>
        <v/>
      </c>
    </row>
    <row r="286">
      <c r="A286" s="2">
        <f>IF(C286="","",ROW()-1)</f>
        <v/>
      </c>
      <c r="B286" s="2" t="n"/>
      <c r="C286" s="2" t="n"/>
      <c r="D286" s="2" t="n"/>
      <c r="E286" s="2" t="n"/>
      <c r="F286" s="6" t="n"/>
      <c r="G286" s="2" t="n"/>
      <c r="H286" s="7" t="n"/>
      <c r="I286" s="7" t="n"/>
      <c r="J286" s="7" t="n"/>
      <c r="K286" s="7" t="n"/>
      <c r="L286" s="7" t="n"/>
      <c r="M286" s="7" t="n"/>
      <c r="N286" s="7" t="n"/>
      <c r="O286" s="7">
        <f>IF(C286="","",MAX(0.05,MIN(0.95,0.20*H286+0.15*I286+0.15*J286+0.25*K286+0.10*L286+0.05*M286+0.10*N286)))</f>
        <v/>
      </c>
      <c r="P286" s="7">
        <f>IFERROR(1/F286,"")</f>
        <v/>
      </c>
      <c r="Q286" s="7">
        <f>IF(OR(O286="",P286=""),"",O286-P286)</f>
        <v/>
      </c>
      <c r="R286" s="7">
        <f>IF(OR(O286="",F286=""),"",O286*F286-1)</f>
        <v/>
      </c>
      <c r="S286" s="2">
        <f>IF(C286="","",ROUND(100*(0.20*H286+0.15*I286+0.15*J286+0.25*K286+0.10*L286+0.05*M286+0.10*N286),0))</f>
        <v/>
      </c>
      <c r="T286" s="2">
        <f>IF(C286="","",IF(OR(F286&lt;PARAMETROS!$B$12,F286&gt;PARAMETROS!$B$13,G286&lt;PARAMETROS!$B$11),"NO APTO",IF(O286&lt;IF(F286&lt;1.6,CONFIG!$B$4,IF(F286&lt;1.7,CONFIG!$B$5,IF(F286&lt;1.8,CONFIG!$B$6,IF(F286&lt;2,CONFIG!$B$7,IF(F286&lt;2.2,CONFIG!$B$8,CONFIG!$B$9))))),"NO APTO",IF(R286&lt;PARAMETROS!$B$14,"NO APTO",IF(S286&gt;=PARAMETROS!$B$10,"ALERTA FUERTE",IF(S286&gt;=PARAMETROS!$B$9,"ALERTA MEDIA","NO APTO"))))))</f>
        <v/>
      </c>
      <c r="U286" s="2">
        <f>IF(T286="","",IF(T286="NO APTO","No cumple uno o más filtros",IF(T286="ALERTA FUERTE","Probabilidad, EV, muestra y score superan filtros","Cumple filtros con confianza media")))</f>
        <v/>
      </c>
    </row>
    <row r="287">
      <c r="A287" s="2">
        <f>IF(C287="","",ROW()-1)</f>
        <v/>
      </c>
      <c r="B287" s="2" t="n"/>
      <c r="C287" s="2" t="n"/>
      <c r="D287" s="2" t="n"/>
      <c r="E287" s="2" t="n"/>
      <c r="F287" s="6" t="n"/>
      <c r="G287" s="2" t="n"/>
      <c r="H287" s="7" t="n"/>
      <c r="I287" s="7" t="n"/>
      <c r="J287" s="7" t="n"/>
      <c r="K287" s="7" t="n"/>
      <c r="L287" s="7" t="n"/>
      <c r="M287" s="7" t="n"/>
      <c r="N287" s="7" t="n"/>
      <c r="O287" s="7">
        <f>IF(C287="","",MAX(0.05,MIN(0.95,0.20*H287+0.15*I287+0.15*J287+0.25*K287+0.10*L287+0.05*M287+0.10*N287)))</f>
        <v/>
      </c>
      <c r="P287" s="7">
        <f>IFERROR(1/F287,"")</f>
        <v/>
      </c>
      <c r="Q287" s="7">
        <f>IF(OR(O287="",P287=""),"",O287-P287)</f>
        <v/>
      </c>
      <c r="R287" s="7">
        <f>IF(OR(O287="",F287=""),"",O287*F287-1)</f>
        <v/>
      </c>
      <c r="S287" s="2">
        <f>IF(C287="","",ROUND(100*(0.20*H287+0.15*I287+0.15*J287+0.25*K287+0.10*L287+0.05*M287+0.10*N287),0))</f>
        <v/>
      </c>
      <c r="T287" s="2">
        <f>IF(C287="","",IF(OR(F287&lt;PARAMETROS!$B$12,F287&gt;PARAMETROS!$B$13,G287&lt;PARAMETROS!$B$11),"NO APTO",IF(O287&lt;IF(F287&lt;1.6,CONFIG!$B$4,IF(F287&lt;1.7,CONFIG!$B$5,IF(F287&lt;1.8,CONFIG!$B$6,IF(F287&lt;2,CONFIG!$B$7,IF(F287&lt;2.2,CONFIG!$B$8,CONFIG!$B$9))))),"NO APTO",IF(R287&lt;PARAMETROS!$B$14,"NO APTO",IF(S287&gt;=PARAMETROS!$B$10,"ALERTA FUERTE",IF(S287&gt;=PARAMETROS!$B$9,"ALERTA MEDIA","NO APTO"))))))</f>
        <v/>
      </c>
      <c r="U287" s="2">
        <f>IF(T287="","",IF(T287="NO APTO","No cumple uno o más filtros",IF(T287="ALERTA FUERTE","Probabilidad, EV, muestra y score superan filtros","Cumple filtros con confianza media")))</f>
        <v/>
      </c>
    </row>
    <row r="288">
      <c r="A288" s="2">
        <f>IF(C288="","",ROW()-1)</f>
        <v/>
      </c>
      <c r="B288" s="2" t="n"/>
      <c r="C288" s="2" t="n"/>
      <c r="D288" s="2" t="n"/>
      <c r="E288" s="2" t="n"/>
      <c r="F288" s="6" t="n"/>
      <c r="G288" s="2" t="n"/>
      <c r="H288" s="7" t="n"/>
      <c r="I288" s="7" t="n"/>
      <c r="J288" s="7" t="n"/>
      <c r="K288" s="7" t="n"/>
      <c r="L288" s="7" t="n"/>
      <c r="M288" s="7" t="n"/>
      <c r="N288" s="7" t="n"/>
      <c r="O288" s="7">
        <f>IF(C288="","",MAX(0.05,MIN(0.95,0.20*H288+0.15*I288+0.15*J288+0.25*K288+0.10*L288+0.05*M288+0.10*N288)))</f>
        <v/>
      </c>
      <c r="P288" s="7">
        <f>IFERROR(1/F288,"")</f>
        <v/>
      </c>
      <c r="Q288" s="7">
        <f>IF(OR(O288="",P288=""),"",O288-P288)</f>
        <v/>
      </c>
      <c r="R288" s="7">
        <f>IF(OR(O288="",F288=""),"",O288*F288-1)</f>
        <v/>
      </c>
      <c r="S288" s="2">
        <f>IF(C288="","",ROUND(100*(0.20*H288+0.15*I288+0.15*J288+0.25*K288+0.10*L288+0.05*M288+0.10*N288),0))</f>
        <v/>
      </c>
      <c r="T288" s="2">
        <f>IF(C288="","",IF(OR(F288&lt;PARAMETROS!$B$12,F288&gt;PARAMETROS!$B$13,G288&lt;PARAMETROS!$B$11),"NO APTO",IF(O288&lt;IF(F288&lt;1.6,CONFIG!$B$4,IF(F288&lt;1.7,CONFIG!$B$5,IF(F288&lt;1.8,CONFIG!$B$6,IF(F288&lt;2,CONFIG!$B$7,IF(F288&lt;2.2,CONFIG!$B$8,CONFIG!$B$9))))),"NO APTO",IF(R288&lt;PARAMETROS!$B$14,"NO APTO",IF(S288&gt;=PARAMETROS!$B$10,"ALERTA FUERTE",IF(S288&gt;=PARAMETROS!$B$9,"ALERTA MEDIA","NO APTO"))))))</f>
        <v/>
      </c>
      <c r="U288" s="2">
        <f>IF(T288="","",IF(T288="NO APTO","No cumple uno o más filtros",IF(T288="ALERTA FUERTE","Probabilidad, EV, muestra y score superan filtros","Cumple filtros con confianza media")))</f>
        <v/>
      </c>
    </row>
    <row r="289">
      <c r="A289" s="2">
        <f>IF(C289="","",ROW()-1)</f>
        <v/>
      </c>
      <c r="B289" s="2" t="n"/>
      <c r="C289" s="2" t="n"/>
      <c r="D289" s="2" t="n"/>
      <c r="E289" s="2" t="n"/>
      <c r="F289" s="6" t="n"/>
      <c r="G289" s="2" t="n"/>
      <c r="H289" s="7" t="n"/>
      <c r="I289" s="7" t="n"/>
      <c r="J289" s="7" t="n"/>
      <c r="K289" s="7" t="n"/>
      <c r="L289" s="7" t="n"/>
      <c r="M289" s="7" t="n"/>
      <c r="N289" s="7" t="n"/>
      <c r="O289" s="7">
        <f>IF(C289="","",MAX(0.05,MIN(0.95,0.20*H289+0.15*I289+0.15*J289+0.25*K289+0.10*L289+0.05*M289+0.10*N289)))</f>
        <v/>
      </c>
      <c r="P289" s="7">
        <f>IFERROR(1/F289,"")</f>
        <v/>
      </c>
      <c r="Q289" s="7">
        <f>IF(OR(O289="",P289=""),"",O289-P289)</f>
        <v/>
      </c>
      <c r="R289" s="7">
        <f>IF(OR(O289="",F289=""),"",O289*F289-1)</f>
        <v/>
      </c>
      <c r="S289" s="2">
        <f>IF(C289="","",ROUND(100*(0.20*H289+0.15*I289+0.15*J289+0.25*K289+0.10*L289+0.05*M289+0.10*N289),0))</f>
        <v/>
      </c>
      <c r="T289" s="2">
        <f>IF(C289="","",IF(OR(F289&lt;PARAMETROS!$B$12,F289&gt;PARAMETROS!$B$13,G289&lt;PARAMETROS!$B$11),"NO APTO",IF(O289&lt;IF(F289&lt;1.6,CONFIG!$B$4,IF(F289&lt;1.7,CONFIG!$B$5,IF(F289&lt;1.8,CONFIG!$B$6,IF(F289&lt;2,CONFIG!$B$7,IF(F289&lt;2.2,CONFIG!$B$8,CONFIG!$B$9))))),"NO APTO",IF(R289&lt;PARAMETROS!$B$14,"NO APTO",IF(S289&gt;=PARAMETROS!$B$10,"ALERTA FUERTE",IF(S289&gt;=PARAMETROS!$B$9,"ALERTA MEDIA","NO APTO"))))))</f>
        <v/>
      </c>
      <c r="U289" s="2">
        <f>IF(T289="","",IF(T289="NO APTO","No cumple uno o más filtros",IF(T289="ALERTA FUERTE","Probabilidad, EV, muestra y score superan filtros","Cumple filtros con confianza media")))</f>
        <v/>
      </c>
    </row>
    <row r="290">
      <c r="A290" s="2">
        <f>IF(C290="","",ROW()-1)</f>
        <v/>
      </c>
      <c r="B290" s="2" t="n"/>
      <c r="C290" s="2" t="n"/>
      <c r="D290" s="2" t="n"/>
      <c r="E290" s="2" t="n"/>
      <c r="F290" s="6" t="n"/>
      <c r="G290" s="2" t="n"/>
      <c r="H290" s="7" t="n"/>
      <c r="I290" s="7" t="n"/>
      <c r="J290" s="7" t="n"/>
      <c r="K290" s="7" t="n"/>
      <c r="L290" s="7" t="n"/>
      <c r="M290" s="7" t="n"/>
      <c r="N290" s="7" t="n"/>
      <c r="O290" s="7">
        <f>IF(C290="","",MAX(0.05,MIN(0.95,0.20*H290+0.15*I290+0.15*J290+0.25*K290+0.10*L290+0.05*M290+0.10*N290)))</f>
        <v/>
      </c>
      <c r="P290" s="7">
        <f>IFERROR(1/F290,"")</f>
        <v/>
      </c>
      <c r="Q290" s="7">
        <f>IF(OR(O290="",P290=""),"",O290-P290)</f>
        <v/>
      </c>
      <c r="R290" s="7">
        <f>IF(OR(O290="",F290=""),"",O290*F290-1)</f>
        <v/>
      </c>
      <c r="S290" s="2">
        <f>IF(C290="","",ROUND(100*(0.20*H290+0.15*I290+0.15*J290+0.25*K290+0.10*L290+0.05*M290+0.10*N290),0))</f>
        <v/>
      </c>
      <c r="T290" s="2">
        <f>IF(C290="","",IF(OR(F290&lt;PARAMETROS!$B$12,F290&gt;PARAMETROS!$B$13,G290&lt;PARAMETROS!$B$11),"NO APTO",IF(O290&lt;IF(F290&lt;1.6,CONFIG!$B$4,IF(F290&lt;1.7,CONFIG!$B$5,IF(F290&lt;1.8,CONFIG!$B$6,IF(F290&lt;2,CONFIG!$B$7,IF(F290&lt;2.2,CONFIG!$B$8,CONFIG!$B$9))))),"NO APTO",IF(R290&lt;PARAMETROS!$B$14,"NO APTO",IF(S290&gt;=PARAMETROS!$B$10,"ALERTA FUERTE",IF(S290&gt;=PARAMETROS!$B$9,"ALERTA MEDIA","NO APTO"))))))</f>
        <v/>
      </c>
      <c r="U290" s="2">
        <f>IF(T290="","",IF(T290="NO APTO","No cumple uno o más filtros",IF(T290="ALERTA FUERTE","Probabilidad, EV, muestra y score superan filtros","Cumple filtros con confianza media")))</f>
        <v/>
      </c>
    </row>
    <row r="291">
      <c r="A291" s="2">
        <f>IF(C291="","",ROW()-1)</f>
        <v/>
      </c>
      <c r="B291" s="2" t="n"/>
      <c r="C291" s="2" t="n"/>
      <c r="D291" s="2" t="n"/>
      <c r="E291" s="2" t="n"/>
      <c r="F291" s="6" t="n"/>
      <c r="G291" s="2" t="n"/>
      <c r="H291" s="7" t="n"/>
      <c r="I291" s="7" t="n"/>
      <c r="J291" s="7" t="n"/>
      <c r="K291" s="7" t="n"/>
      <c r="L291" s="7" t="n"/>
      <c r="M291" s="7" t="n"/>
      <c r="N291" s="7" t="n"/>
      <c r="O291" s="7">
        <f>IF(C291="","",MAX(0.05,MIN(0.95,0.20*H291+0.15*I291+0.15*J291+0.25*K291+0.10*L291+0.05*M291+0.10*N291)))</f>
        <v/>
      </c>
      <c r="P291" s="7">
        <f>IFERROR(1/F291,"")</f>
        <v/>
      </c>
      <c r="Q291" s="7">
        <f>IF(OR(O291="",P291=""),"",O291-P291)</f>
        <v/>
      </c>
      <c r="R291" s="7">
        <f>IF(OR(O291="",F291=""),"",O291*F291-1)</f>
        <v/>
      </c>
      <c r="S291" s="2">
        <f>IF(C291="","",ROUND(100*(0.20*H291+0.15*I291+0.15*J291+0.25*K291+0.10*L291+0.05*M291+0.10*N291),0))</f>
        <v/>
      </c>
      <c r="T291" s="2">
        <f>IF(C291="","",IF(OR(F291&lt;PARAMETROS!$B$12,F291&gt;PARAMETROS!$B$13,G291&lt;PARAMETROS!$B$11),"NO APTO",IF(O291&lt;IF(F291&lt;1.6,CONFIG!$B$4,IF(F291&lt;1.7,CONFIG!$B$5,IF(F291&lt;1.8,CONFIG!$B$6,IF(F291&lt;2,CONFIG!$B$7,IF(F291&lt;2.2,CONFIG!$B$8,CONFIG!$B$9))))),"NO APTO",IF(R291&lt;PARAMETROS!$B$14,"NO APTO",IF(S291&gt;=PARAMETROS!$B$10,"ALERTA FUERTE",IF(S291&gt;=PARAMETROS!$B$9,"ALERTA MEDIA","NO APTO"))))))</f>
        <v/>
      </c>
      <c r="U291" s="2">
        <f>IF(T291="","",IF(T291="NO APTO","No cumple uno o más filtros",IF(T291="ALERTA FUERTE","Probabilidad, EV, muestra y score superan filtros","Cumple filtros con confianza media")))</f>
        <v/>
      </c>
    </row>
    <row r="292">
      <c r="A292" s="2">
        <f>IF(C292="","",ROW()-1)</f>
        <v/>
      </c>
      <c r="B292" s="2" t="n"/>
      <c r="C292" s="2" t="n"/>
      <c r="D292" s="2" t="n"/>
      <c r="E292" s="2" t="n"/>
      <c r="F292" s="6" t="n"/>
      <c r="G292" s="2" t="n"/>
      <c r="H292" s="7" t="n"/>
      <c r="I292" s="7" t="n"/>
      <c r="J292" s="7" t="n"/>
      <c r="K292" s="7" t="n"/>
      <c r="L292" s="7" t="n"/>
      <c r="M292" s="7" t="n"/>
      <c r="N292" s="7" t="n"/>
      <c r="O292" s="7">
        <f>IF(C292="","",MAX(0.05,MIN(0.95,0.20*H292+0.15*I292+0.15*J292+0.25*K292+0.10*L292+0.05*M292+0.10*N292)))</f>
        <v/>
      </c>
      <c r="P292" s="7">
        <f>IFERROR(1/F292,"")</f>
        <v/>
      </c>
      <c r="Q292" s="7">
        <f>IF(OR(O292="",P292=""),"",O292-P292)</f>
        <v/>
      </c>
      <c r="R292" s="7">
        <f>IF(OR(O292="",F292=""),"",O292*F292-1)</f>
        <v/>
      </c>
      <c r="S292" s="2">
        <f>IF(C292="","",ROUND(100*(0.20*H292+0.15*I292+0.15*J292+0.25*K292+0.10*L292+0.05*M292+0.10*N292),0))</f>
        <v/>
      </c>
      <c r="T292" s="2">
        <f>IF(C292="","",IF(OR(F292&lt;PARAMETROS!$B$12,F292&gt;PARAMETROS!$B$13,G292&lt;PARAMETROS!$B$11),"NO APTO",IF(O292&lt;IF(F292&lt;1.6,CONFIG!$B$4,IF(F292&lt;1.7,CONFIG!$B$5,IF(F292&lt;1.8,CONFIG!$B$6,IF(F292&lt;2,CONFIG!$B$7,IF(F292&lt;2.2,CONFIG!$B$8,CONFIG!$B$9))))),"NO APTO",IF(R292&lt;PARAMETROS!$B$14,"NO APTO",IF(S292&gt;=PARAMETROS!$B$10,"ALERTA FUERTE",IF(S292&gt;=PARAMETROS!$B$9,"ALERTA MEDIA","NO APTO"))))))</f>
        <v/>
      </c>
      <c r="U292" s="2">
        <f>IF(T292="","",IF(T292="NO APTO","No cumple uno o más filtros",IF(T292="ALERTA FUERTE","Probabilidad, EV, muestra y score superan filtros","Cumple filtros con confianza media")))</f>
        <v/>
      </c>
    </row>
    <row r="293">
      <c r="A293" s="2">
        <f>IF(C293="","",ROW()-1)</f>
        <v/>
      </c>
      <c r="B293" s="2" t="n"/>
      <c r="C293" s="2" t="n"/>
      <c r="D293" s="2" t="n"/>
      <c r="E293" s="2" t="n"/>
      <c r="F293" s="6" t="n"/>
      <c r="G293" s="2" t="n"/>
      <c r="H293" s="7" t="n"/>
      <c r="I293" s="7" t="n"/>
      <c r="J293" s="7" t="n"/>
      <c r="K293" s="7" t="n"/>
      <c r="L293" s="7" t="n"/>
      <c r="M293" s="7" t="n"/>
      <c r="N293" s="7" t="n"/>
      <c r="O293" s="7">
        <f>IF(C293="","",MAX(0.05,MIN(0.95,0.20*H293+0.15*I293+0.15*J293+0.25*K293+0.10*L293+0.05*M293+0.10*N293)))</f>
        <v/>
      </c>
      <c r="P293" s="7">
        <f>IFERROR(1/F293,"")</f>
        <v/>
      </c>
      <c r="Q293" s="7">
        <f>IF(OR(O293="",P293=""),"",O293-P293)</f>
        <v/>
      </c>
      <c r="R293" s="7">
        <f>IF(OR(O293="",F293=""),"",O293*F293-1)</f>
        <v/>
      </c>
      <c r="S293" s="2">
        <f>IF(C293="","",ROUND(100*(0.20*H293+0.15*I293+0.15*J293+0.25*K293+0.10*L293+0.05*M293+0.10*N293),0))</f>
        <v/>
      </c>
      <c r="T293" s="2">
        <f>IF(C293="","",IF(OR(F293&lt;PARAMETROS!$B$12,F293&gt;PARAMETROS!$B$13,G293&lt;PARAMETROS!$B$11),"NO APTO",IF(O293&lt;IF(F293&lt;1.6,CONFIG!$B$4,IF(F293&lt;1.7,CONFIG!$B$5,IF(F293&lt;1.8,CONFIG!$B$6,IF(F293&lt;2,CONFIG!$B$7,IF(F293&lt;2.2,CONFIG!$B$8,CONFIG!$B$9))))),"NO APTO",IF(R293&lt;PARAMETROS!$B$14,"NO APTO",IF(S293&gt;=PARAMETROS!$B$10,"ALERTA FUERTE",IF(S293&gt;=PARAMETROS!$B$9,"ALERTA MEDIA","NO APTO"))))))</f>
        <v/>
      </c>
      <c r="U293" s="2">
        <f>IF(T293="","",IF(T293="NO APTO","No cumple uno o más filtros",IF(T293="ALERTA FUERTE","Probabilidad, EV, muestra y score superan filtros","Cumple filtros con confianza media")))</f>
        <v/>
      </c>
    </row>
    <row r="294">
      <c r="A294" s="2">
        <f>IF(C294="","",ROW()-1)</f>
        <v/>
      </c>
      <c r="B294" s="2" t="n"/>
      <c r="C294" s="2" t="n"/>
      <c r="D294" s="2" t="n"/>
      <c r="E294" s="2" t="n"/>
      <c r="F294" s="6" t="n"/>
      <c r="G294" s="2" t="n"/>
      <c r="H294" s="7" t="n"/>
      <c r="I294" s="7" t="n"/>
      <c r="J294" s="7" t="n"/>
      <c r="K294" s="7" t="n"/>
      <c r="L294" s="7" t="n"/>
      <c r="M294" s="7" t="n"/>
      <c r="N294" s="7" t="n"/>
      <c r="O294" s="7">
        <f>IF(C294="","",MAX(0.05,MIN(0.95,0.20*H294+0.15*I294+0.15*J294+0.25*K294+0.10*L294+0.05*M294+0.10*N294)))</f>
        <v/>
      </c>
      <c r="P294" s="7">
        <f>IFERROR(1/F294,"")</f>
        <v/>
      </c>
      <c r="Q294" s="7">
        <f>IF(OR(O294="",P294=""),"",O294-P294)</f>
        <v/>
      </c>
      <c r="R294" s="7">
        <f>IF(OR(O294="",F294=""),"",O294*F294-1)</f>
        <v/>
      </c>
      <c r="S294" s="2">
        <f>IF(C294="","",ROUND(100*(0.20*H294+0.15*I294+0.15*J294+0.25*K294+0.10*L294+0.05*M294+0.10*N294),0))</f>
        <v/>
      </c>
      <c r="T294" s="2">
        <f>IF(C294="","",IF(OR(F294&lt;PARAMETROS!$B$12,F294&gt;PARAMETROS!$B$13,G294&lt;PARAMETROS!$B$11),"NO APTO",IF(O294&lt;IF(F294&lt;1.6,CONFIG!$B$4,IF(F294&lt;1.7,CONFIG!$B$5,IF(F294&lt;1.8,CONFIG!$B$6,IF(F294&lt;2,CONFIG!$B$7,IF(F294&lt;2.2,CONFIG!$B$8,CONFIG!$B$9))))),"NO APTO",IF(R294&lt;PARAMETROS!$B$14,"NO APTO",IF(S294&gt;=PARAMETROS!$B$10,"ALERTA FUERTE",IF(S294&gt;=PARAMETROS!$B$9,"ALERTA MEDIA","NO APTO"))))))</f>
        <v/>
      </c>
      <c r="U294" s="2">
        <f>IF(T294="","",IF(T294="NO APTO","No cumple uno o más filtros",IF(T294="ALERTA FUERTE","Probabilidad, EV, muestra y score superan filtros","Cumple filtros con confianza media")))</f>
        <v/>
      </c>
    </row>
    <row r="295">
      <c r="A295" s="2">
        <f>IF(C295="","",ROW()-1)</f>
        <v/>
      </c>
      <c r="B295" s="2" t="n"/>
      <c r="C295" s="2" t="n"/>
      <c r="D295" s="2" t="n"/>
      <c r="E295" s="2" t="n"/>
      <c r="F295" s="6" t="n"/>
      <c r="G295" s="2" t="n"/>
      <c r="H295" s="7" t="n"/>
      <c r="I295" s="7" t="n"/>
      <c r="J295" s="7" t="n"/>
      <c r="K295" s="7" t="n"/>
      <c r="L295" s="7" t="n"/>
      <c r="M295" s="7" t="n"/>
      <c r="N295" s="7" t="n"/>
      <c r="O295" s="7">
        <f>IF(C295="","",MAX(0.05,MIN(0.95,0.20*H295+0.15*I295+0.15*J295+0.25*K295+0.10*L295+0.05*M295+0.10*N295)))</f>
        <v/>
      </c>
      <c r="P295" s="7">
        <f>IFERROR(1/F295,"")</f>
        <v/>
      </c>
      <c r="Q295" s="7">
        <f>IF(OR(O295="",P295=""),"",O295-P295)</f>
        <v/>
      </c>
      <c r="R295" s="7">
        <f>IF(OR(O295="",F295=""),"",O295*F295-1)</f>
        <v/>
      </c>
      <c r="S295" s="2">
        <f>IF(C295="","",ROUND(100*(0.20*H295+0.15*I295+0.15*J295+0.25*K295+0.10*L295+0.05*M295+0.10*N295),0))</f>
        <v/>
      </c>
      <c r="T295" s="2">
        <f>IF(C295="","",IF(OR(F295&lt;PARAMETROS!$B$12,F295&gt;PARAMETROS!$B$13,G295&lt;PARAMETROS!$B$11),"NO APTO",IF(O295&lt;IF(F295&lt;1.6,CONFIG!$B$4,IF(F295&lt;1.7,CONFIG!$B$5,IF(F295&lt;1.8,CONFIG!$B$6,IF(F295&lt;2,CONFIG!$B$7,IF(F295&lt;2.2,CONFIG!$B$8,CONFIG!$B$9))))),"NO APTO",IF(R295&lt;PARAMETROS!$B$14,"NO APTO",IF(S295&gt;=PARAMETROS!$B$10,"ALERTA FUERTE",IF(S295&gt;=PARAMETROS!$B$9,"ALERTA MEDIA","NO APTO"))))))</f>
        <v/>
      </c>
      <c r="U295" s="2">
        <f>IF(T295="","",IF(T295="NO APTO","No cumple uno o más filtros",IF(T295="ALERTA FUERTE","Probabilidad, EV, muestra y score superan filtros","Cumple filtros con confianza media")))</f>
        <v/>
      </c>
    </row>
    <row r="296">
      <c r="A296" s="2">
        <f>IF(C296="","",ROW()-1)</f>
        <v/>
      </c>
      <c r="B296" s="2" t="n"/>
      <c r="C296" s="2" t="n"/>
      <c r="D296" s="2" t="n"/>
      <c r="E296" s="2" t="n"/>
      <c r="F296" s="6" t="n"/>
      <c r="G296" s="2" t="n"/>
      <c r="H296" s="7" t="n"/>
      <c r="I296" s="7" t="n"/>
      <c r="J296" s="7" t="n"/>
      <c r="K296" s="7" t="n"/>
      <c r="L296" s="7" t="n"/>
      <c r="M296" s="7" t="n"/>
      <c r="N296" s="7" t="n"/>
      <c r="O296" s="7">
        <f>IF(C296="","",MAX(0.05,MIN(0.95,0.20*H296+0.15*I296+0.15*J296+0.25*K296+0.10*L296+0.05*M296+0.10*N296)))</f>
        <v/>
      </c>
      <c r="P296" s="7">
        <f>IFERROR(1/F296,"")</f>
        <v/>
      </c>
      <c r="Q296" s="7">
        <f>IF(OR(O296="",P296=""),"",O296-P296)</f>
        <v/>
      </c>
      <c r="R296" s="7">
        <f>IF(OR(O296="",F296=""),"",O296*F296-1)</f>
        <v/>
      </c>
      <c r="S296" s="2">
        <f>IF(C296="","",ROUND(100*(0.20*H296+0.15*I296+0.15*J296+0.25*K296+0.10*L296+0.05*M296+0.10*N296),0))</f>
        <v/>
      </c>
      <c r="T296" s="2">
        <f>IF(C296="","",IF(OR(F296&lt;PARAMETROS!$B$12,F296&gt;PARAMETROS!$B$13,G296&lt;PARAMETROS!$B$11),"NO APTO",IF(O296&lt;IF(F296&lt;1.6,CONFIG!$B$4,IF(F296&lt;1.7,CONFIG!$B$5,IF(F296&lt;1.8,CONFIG!$B$6,IF(F296&lt;2,CONFIG!$B$7,IF(F296&lt;2.2,CONFIG!$B$8,CONFIG!$B$9))))),"NO APTO",IF(R296&lt;PARAMETROS!$B$14,"NO APTO",IF(S296&gt;=PARAMETROS!$B$10,"ALERTA FUERTE",IF(S296&gt;=PARAMETROS!$B$9,"ALERTA MEDIA","NO APTO"))))))</f>
        <v/>
      </c>
      <c r="U296" s="2">
        <f>IF(T296="","",IF(T296="NO APTO","No cumple uno o más filtros",IF(T296="ALERTA FUERTE","Probabilidad, EV, muestra y score superan filtros","Cumple filtros con confianza media")))</f>
        <v/>
      </c>
    </row>
    <row r="297">
      <c r="A297" s="2">
        <f>IF(C297="","",ROW()-1)</f>
        <v/>
      </c>
      <c r="B297" s="2" t="n"/>
      <c r="C297" s="2" t="n"/>
      <c r="D297" s="2" t="n"/>
      <c r="E297" s="2" t="n"/>
      <c r="F297" s="6" t="n"/>
      <c r="G297" s="2" t="n"/>
      <c r="H297" s="7" t="n"/>
      <c r="I297" s="7" t="n"/>
      <c r="J297" s="7" t="n"/>
      <c r="K297" s="7" t="n"/>
      <c r="L297" s="7" t="n"/>
      <c r="M297" s="7" t="n"/>
      <c r="N297" s="7" t="n"/>
      <c r="O297" s="7">
        <f>IF(C297="","",MAX(0.05,MIN(0.95,0.20*H297+0.15*I297+0.15*J297+0.25*K297+0.10*L297+0.05*M297+0.10*N297)))</f>
        <v/>
      </c>
      <c r="P297" s="7">
        <f>IFERROR(1/F297,"")</f>
        <v/>
      </c>
      <c r="Q297" s="7">
        <f>IF(OR(O297="",P297=""),"",O297-P297)</f>
        <v/>
      </c>
      <c r="R297" s="7">
        <f>IF(OR(O297="",F297=""),"",O297*F297-1)</f>
        <v/>
      </c>
      <c r="S297" s="2">
        <f>IF(C297="","",ROUND(100*(0.20*H297+0.15*I297+0.15*J297+0.25*K297+0.10*L297+0.05*M297+0.10*N297),0))</f>
        <v/>
      </c>
      <c r="T297" s="2">
        <f>IF(C297="","",IF(OR(F297&lt;PARAMETROS!$B$12,F297&gt;PARAMETROS!$B$13,G297&lt;PARAMETROS!$B$11),"NO APTO",IF(O297&lt;IF(F297&lt;1.6,CONFIG!$B$4,IF(F297&lt;1.7,CONFIG!$B$5,IF(F297&lt;1.8,CONFIG!$B$6,IF(F297&lt;2,CONFIG!$B$7,IF(F297&lt;2.2,CONFIG!$B$8,CONFIG!$B$9))))),"NO APTO",IF(R297&lt;PARAMETROS!$B$14,"NO APTO",IF(S297&gt;=PARAMETROS!$B$10,"ALERTA FUERTE",IF(S297&gt;=PARAMETROS!$B$9,"ALERTA MEDIA","NO APTO"))))))</f>
        <v/>
      </c>
      <c r="U297" s="2">
        <f>IF(T297="","",IF(T297="NO APTO","No cumple uno o más filtros",IF(T297="ALERTA FUERTE","Probabilidad, EV, muestra y score superan filtros","Cumple filtros con confianza media")))</f>
        <v/>
      </c>
    </row>
    <row r="298">
      <c r="A298" s="2">
        <f>IF(C298="","",ROW()-1)</f>
        <v/>
      </c>
      <c r="B298" s="2" t="n"/>
      <c r="C298" s="2" t="n"/>
      <c r="D298" s="2" t="n"/>
      <c r="E298" s="2" t="n"/>
      <c r="F298" s="6" t="n"/>
      <c r="G298" s="2" t="n"/>
      <c r="H298" s="7" t="n"/>
      <c r="I298" s="7" t="n"/>
      <c r="J298" s="7" t="n"/>
      <c r="K298" s="7" t="n"/>
      <c r="L298" s="7" t="n"/>
      <c r="M298" s="7" t="n"/>
      <c r="N298" s="7" t="n"/>
      <c r="O298" s="7">
        <f>IF(C298="","",MAX(0.05,MIN(0.95,0.20*H298+0.15*I298+0.15*J298+0.25*K298+0.10*L298+0.05*M298+0.10*N298)))</f>
        <v/>
      </c>
      <c r="P298" s="7">
        <f>IFERROR(1/F298,"")</f>
        <v/>
      </c>
      <c r="Q298" s="7">
        <f>IF(OR(O298="",P298=""),"",O298-P298)</f>
        <v/>
      </c>
      <c r="R298" s="7">
        <f>IF(OR(O298="",F298=""),"",O298*F298-1)</f>
        <v/>
      </c>
      <c r="S298" s="2">
        <f>IF(C298="","",ROUND(100*(0.20*H298+0.15*I298+0.15*J298+0.25*K298+0.10*L298+0.05*M298+0.10*N298),0))</f>
        <v/>
      </c>
      <c r="T298" s="2">
        <f>IF(C298="","",IF(OR(F298&lt;PARAMETROS!$B$12,F298&gt;PARAMETROS!$B$13,G298&lt;PARAMETROS!$B$11),"NO APTO",IF(O298&lt;IF(F298&lt;1.6,CONFIG!$B$4,IF(F298&lt;1.7,CONFIG!$B$5,IF(F298&lt;1.8,CONFIG!$B$6,IF(F298&lt;2,CONFIG!$B$7,IF(F298&lt;2.2,CONFIG!$B$8,CONFIG!$B$9))))),"NO APTO",IF(R298&lt;PARAMETROS!$B$14,"NO APTO",IF(S298&gt;=PARAMETROS!$B$10,"ALERTA FUERTE",IF(S298&gt;=PARAMETROS!$B$9,"ALERTA MEDIA","NO APTO"))))))</f>
        <v/>
      </c>
      <c r="U298" s="2">
        <f>IF(T298="","",IF(T298="NO APTO","No cumple uno o más filtros",IF(T298="ALERTA FUERTE","Probabilidad, EV, muestra y score superan filtros","Cumple filtros con confianza media")))</f>
        <v/>
      </c>
    </row>
    <row r="299">
      <c r="A299" s="2">
        <f>IF(C299="","",ROW()-1)</f>
        <v/>
      </c>
      <c r="B299" s="2" t="n"/>
      <c r="C299" s="2" t="n"/>
      <c r="D299" s="2" t="n"/>
      <c r="E299" s="2" t="n"/>
      <c r="F299" s="6" t="n"/>
      <c r="G299" s="2" t="n"/>
      <c r="H299" s="7" t="n"/>
      <c r="I299" s="7" t="n"/>
      <c r="J299" s="7" t="n"/>
      <c r="K299" s="7" t="n"/>
      <c r="L299" s="7" t="n"/>
      <c r="M299" s="7" t="n"/>
      <c r="N299" s="7" t="n"/>
      <c r="O299" s="7">
        <f>IF(C299="","",MAX(0.05,MIN(0.95,0.20*H299+0.15*I299+0.15*J299+0.25*K299+0.10*L299+0.05*M299+0.10*N299)))</f>
        <v/>
      </c>
      <c r="P299" s="7">
        <f>IFERROR(1/F299,"")</f>
        <v/>
      </c>
      <c r="Q299" s="7">
        <f>IF(OR(O299="",P299=""),"",O299-P299)</f>
        <v/>
      </c>
      <c r="R299" s="7">
        <f>IF(OR(O299="",F299=""),"",O299*F299-1)</f>
        <v/>
      </c>
      <c r="S299" s="2">
        <f>IF(C299="","",ROUND(100*(0.20*H299+0.15*I299+0.15*J299+0.25*K299+0.10*L299+0.05*M299+0.10*N299),0))</f>
        <v/>
      </c>
      <c r="T299" s="2">
        <f>IF(C299="","",IF(OR(F299&lt;PARAMETROS!$B$12,F299&gt;PARAMETROS!$B$13,G299&lt;PARAMETROS!$B$11),"NO APTO",IF(O299&lt;IF(F299&lt;1.6,CONFIG!$B$4,IF(F299&lt;1.7,CONFIG!$B$5,IF(F299&lt;1.8,CONFIG!$B$6,IF(F299&lt;2,CONFIG!$B$7,IF(F299&lt;2.2,CONFIG!$B$8,CONFIG!$B$9))))),"NO APTO",IF(R299&lt;PARAMETROS!$B$14,"NO APTO",IF(S299&gt;=PARAMETROS!$B$10,"ALERTA FUERTE",IF(S299&gt;=PARAMETROS!$B$9,"ALERTA MEDIA","NO APTO"))))))</f>
        <v/>
      </c>
      <c r="U299" s="2">
        <f>IF(T299="","",IF(T299="NO APTO","No cumple uno o más filtros",IF(T299="ALERTA FUERTE","Probabilidad, EV, muestra y score superan filtros","Cumple filtros con confianza media")))</f>
        <v/>
      </c>
    </row>
    <row r="300">
      <c r="A300" s="2">
        <f>IF(C300="","",ROW()-1)</f>
        <v/>
      </c>
      <c r="B300" s="2" t="n"/>
      <c r="C300" s="2" t="n"/>
      <c r="D300" s="2" t="n"/>
      <c r="E300" s="2" t="n"/>
      <c r="F300" s="6" t="n"/>
      <c r="G300" s="2" t="n"/>
      <c r="H300" s="7" t="n"/>
      <c r="I300" s="7" t="n"/>
      <c r="J300" s="7" t="n"/>
      <c r="K300" s="7" t="n"/>
      <c r="L300" s="7" t="n"/>
      <c r="M300" s="7" t="n"/>
      <c r="N300" s="7" t="n"/>
      <c r="O300" s="7">
        <f>IF(C300="","",MAX(0.05,MIN(0.95,0.20*H300+0.15*I300+0.15*J300+0.25*K300+0.10*L300+0.05*M300+0.10*N300)))</f>
        <v/>
      </c>
      <c r="P300" s="7">
        <f>IFERROR(1/F300,"")</f>
        <v/>
      </c>
      <c r="Q300" s="7">
        <f>IF(OR(O300="",P300=""),"",O300-P300)</f>
        <v/>
      </c>
      <c r="R300" s="7">
        <f>IF(OR(O300="",F300=""),"",O300*F300-1)</f>
        <v/>
      </c>
      <c r="S300" s="2">
        <f>IF(C300="","",ROUND(100*(0.20*H300+0.15*I300+0.15*J300+0.25*K300+0.10*L300+0.05*M300+0.10*N300),0))</f>
        <v/>
      </c>
      <c r="T300" s="2">
        <f>IF(C300="","",IF(OR(F300&lt;PARAMETROS!$B$12,F300&gt;PARAMETROS!$B$13,G300&lt;PARAMETROS!$B$11),"NO APTO",IF(O300&lt;IF(F300&lt;1.6,CONFIG!$B$4,IF(F300&lt;1.7,CONFIG!$B$5,IF(F300&lt;1.8,CONFIG!$B$6,IF(F300&lt;2,CONFIG!$B$7,IF(F300&lt;2.2,CONFIG!$B$8,CONFIG!$B$9))))),"NO APTO",IF(R300&lt;PARAMETROS!$B$14,"NO APTO",IF(S300&gt;=PARAMETROS!$B$10,"ALERTA FUERTE",IF(S300&gt;=PARAMETROS!$B$9,"ALERTA MEDIA","NO APTO"))))))</f>
        <v/>
      </c>
      <c r="U300" s="2">
        <f>IF(T300="","",IF(T300="NO APTO","No cumple uno o más filtros",IF(T300="ALERTA FUERTE","Probabilidad, EV, muestra y score superan filtros","Cumple filtros con confianza media")))</f>
        <v/>
      </c>
    </row>
    <row r="301">
      <c r="A301" s="2">
        <f>IF(C301="","",ROW()-1)</f>
        <v/>
      </c>
      <c r="B301" s="2" t="n"/>
      <c r="C301" s="2" t="n"/>
      <c r="D301" s="2" t="n"/>
      <c r="E301" s="2" t="n"/>
      <c r="F301" s="6" t="n"/>
      <c r="G301" s="2" t="n"/>
      <c r="H301" s="7" t="n"/>
      <c r="I301" s="7" t="n"/>
      <c r="J301" s="7" t="n"/>
      <c r="K301" s="7" t="n"/>
      <c r="L301" s="7" t="n"/>
      <c r="M301" s="7" t="n"/>
      <c r="N301" s="7" t="n"/>
      <c r="O301" s="7">
        <f>IF(C301="","",MAX(0.05,MIN(0.95,0.20*H301+0.15*I301+0.15*J301+0.25*K301+0.10*L301+0.05*M301+0.10*N301)))</f>
        <v/>
      </c>
      <c r="P301" s="7">
        <f>IFERROR(1/F301,"")</f>
        <v/>
      </c>
      <c r="Q301" s="7">
        <f>IF(OR(O301="",P301=""),"",O301-P301)</f>
        <v/>
      </c>
      <c r="R301" s="7">
        <f>IF(OR(O301="",F301=""),"",O301*F301-1)</f>
        <v/>
      </c>
      <c r="S301" s="2">
        <f>IF(C301="","",ROUND(100*(0.20*H301+0.15*I301+0.15*J301+0.25*K301+0.10*L301+0.05*M301+0.10*N301),0))</f>
        <v/>
      </c>
      <c r="T301" s="2">
        <f>IF(C301="","",IF(OR(F301&lt;PARAMETROS!$B$12,F301&gt;PARAMETROS!$B$13,G301&lt;PARAMETROS!$B$11),"NO APTO",IF(O301&lt;IF(F301&lt;1.6,CONFIG!$B$4,IF(F301&lt;1.7,CONFIG!$B$5,IF(F301&lt;1.8,CONFIG!$B$6,IF(F301&lt;2,CONFIG!$B$7,IF(F301&lt;2.2,CONFIG!$B$8,CONFIG!$B$9))))),"NO APTO",IF(R301&lt;PARAMETROS!$B$14,"NO APTO",IF(S301&gt;=PARAMETROS!$B$10,"ALERTA FUERTE",IF(S301&gt;=PARAMETROS!$B$9,"ALERTA MEDIA","NO APTO"))))))</f>
        <v/>
      </c>
      <c r="U301" s="2">
        <f>IF(T301="","",IF(T301="NO APTO","No cumple uno o más filtros",IF(T301="ALERTA FUERTE","Probabilidad, EV, muestra y score superan filtros","Cumple filtros con confianza media")))</f>
        <v/>
      </c>
    </row>
  </sheetData>
  <autoFilter ref="A1:U301"/>
  <conditionalFormatting sqref="T2:T301">
    <cfRule type="expression" priority="1" dxfId="0">
      <formula>T2="ALERTA FUERTE"</formula>
    </cfRule>
    <cfRule type="expression" priority="2" dxfId="1">
      <formula>T2="ALERTA MEDIA"</formula>
    </cfRule>
    <cfRule type="expression" priority="3" dxfId="2">
      <formula>T2="NO APTO"</formula>
    </cfRule>
  </conditionalFormatting>
  <dataValidations count="2">
    <dataValidation sqref="H2:H301 I2:I301 J2:J301 K2:K301 L2:L301 M2:M301 N2:N301" showDropDown="0" showInputMessage="0" showErrorMessage="0" allowBlank="1" type="decimal" operator="between">
      <formula1>0</formula1>
      <formula2>1</formula2>
    </dataValidation>
    <dataValidation sqref="G2:G301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5" customWidth="1" min="4" max="4"/>
    <col width="20" customWidth="1" min="5" max="5"/>
    <col width="40" customWidth="1" min="6" max="6"/>
  </cols>
  <sheetData>
    <row r="1">
      <c r="A1" s="12" t="inlineStr">
        <is>
          <t>MERCADO</t>
        </is>
      </c>
      <c r="B1" s="12" t="inlineStr">
        <is>
          <t>VARIABLE PRINCIPAL</t>
        </is>
      </c>
      <c r="C1" s="12" t="inlineStr">
        <is>
          <t>LINEA</t>
        </is>
      </c>
      <c r="D1" s="12" t="inlineStr">
        <is>
          <t>ORIENTACIÓN</t>
        </is>
      </c>
      <c r="E1" s="12" t="inlineStr">
        <is>
          <t>REQUISITO BASE</t>
        </is>
      </c>
      <c r="F1" s="12" t="inlineStr">
        <is>
          <t>OBSERVACIÓN</t>
        </is>
      </c>
    </row>
    <row r="2">
      <c r="A2" s="2" t="inlineStr">
        <is>
          <t>1X2</t>
        </is>
      </c>
      <c r="B2" s="2" t="inlineStr">
        <is>
          <t>Probabilidad del resultado</t>
        </is>
      </c>
      <c r="C2" s="2" t="inlineStr"/>
      <c r="D2" s="2" t="inlineStr">
        <is>
          <t>A favor</t>
        </is>
      </c>
      <c r="E2" s="2" t="inlineStr">
        <is>
          <t>Prob. modelo &gt; implícita</t>
        </is>
      </c>
      <c r="F2" s="2" t="inlineStr">
        <is>
          <t>Usar forma y local/visitante</t>
        </is>
      </c>
    </row>
    <row r="3">
      <c r="A3" s="2" t="inlineStr">
        <is>
          <t>Doble oportunidad</t>
        </is>
      </c>
      <c r="B3" s="2" t="inlineStr">
        <is>
          <t>Probabilidad 1X/X2</t>
        </is>
      </c>
      <c r="C3" s="2" t="inlineStr"/>
      <c r="D3" s="2" t="inlineStr">
        <is>
          <t>A favor</t>
        </is>
      </c>
      <c r="E3" s="2" t="inlineStr">
        <is>
          <t>Prob. modelo &gt; implícita</t>
        </is>
      </c>
      <c r="F3" s="2" t="inlineStr">
        <is>
          <t>Más conservador</t>
        </is>
      </c>
    </row>
    <row r="4">
      <c r="A4" s="2" t="inlineStr">
        <is>
          <t>Goles</t>
        </is>
      </c>
      <c r="B4" s="2" t="inlineStr">
        <is>
          <t>Promedio goles + frecuencia línea</t>
        </is>
      </c>
      <c r="C4" s="2" t="inlineStr">
        <is>
          <t>2.5</t>
        </is>
      </c>
      <c r="D4" s="2" t="inlineStr">
        <is>
          <t>Over/Under</t>
        </is>
      </c>
      <c r="E4" s="2" t="inlineStr">
        <is>
          <t>Muestra &gt;= 5</t>
        </is>
      </c>
      <c r="F4" s="2" t="inlineStr">
        <is>
          <t>Ajustar línea</t>
        </is>
      </c>
    </row>
    <row r="5">
      <c r="A5" s="2" t="inlineStr">
        <is>
          <t>Córners</t>
        </is>
      </c>
      <c r="B5" s="2" t="inlineStr">
        <is>
          <t>Promedio córners + frecuencia línea</t>
        </is>
      </c>
      <c r="C5" s="2" t="inlineStr">
        <is>
          <t>8.5</t>
        </is>
      </c>
      <c r="D5" s="2" t="inlineStr">
        <is>
          <t>Over/Under</t>
        </is>
      </c>
      <c r="E5" s="2" t="inlineStr">
        <is>
          <t>Muestra &gt;= 5</t>
        </is>
      </c>
      <c r="F5" s="2" t="inlineStr">
        <is>
          <t>Ajustar línea</t>
        </is>
      </c>
    </row>
    <row r="6">
      <c r="A6" s="2" t="inlineStr">
        <is>
          <t>Tarjetas</t>
        </is>
      </c>
      <c r="B6" s="2" t="inlineStr">
        <is>
          <t>Promedio tarjetas + frecuencia línea</t>
        </is>
      </c>
      <c r="C6" s="2" t="inlineStr">
        <is>
          <t>4.5</t>
        </is>
      </c>
      <c r="D6" s="2" t="inlineStr">
        <is>
          <t>Over/Under</t>
        </is>
      </c>
      <c r="E6" s="2" t="inlineStr">
        <is>
          <t>Muestra &gt;= 5</t>
        </is>
      </c>
      <c r="F6" s="2" t="inlineStr">
        <is>
          <t>Contexto arbitral opcional</t>
        </is>
      </c>
    </row>
    <row r="7">
      <c r="A7" s="2" t="inlineStr">
        <is>
          <t>Tiros</t>
        </is>
      </c>
      <c r="B7" s="2" t="inlineStr">
        <is>
          <t>Promedio tiros + frecuencia línea</t>
        </is>
      </c>
      <c r="C7" s="2" t="inlineStr">
        <is>
          <t>22.5</t>
        </is>
      </c>
      <c r="D7" s="2" t="inlineStr">
        <is>
          <t>Over/Under</t>
        </is>
      </c>
      <c r="E7" s="2" t="inlineStr">
        <is>
          <t>Muestra &gt;= 5</t>
        </is>
      </c>
      <c r="F7" s="2" t="inlineStr">
        <is>
          <t>Equipo/partido</t>
        </is>
      </c>
    </row>
    <row r="8">
      <c r="A8" s="2" t="inlineStr">
        <is>
          <t>Tiros al arco</t>
        </is>
      </c>
      <c r="B8" s="2" t="inlineStr">
        <is>
          <t>Promedio tiros al arco + frecuencia</t>
        </is>
      </c>
      <c r="C8" s="2" t="inlineStr">
        <is>
          <t>8.5</t>
        </is>
      </c>
      <c r="D8" s="2" t="inlineStr">
        <is>
          <t>Over/Under</t>
        </is>
      </c>
      <c r="E8" s="2" t="inlineStr">
        <is>
          <t>Muestra &gt;= 5</t>
        </is>
      </c>
      <c r="F8" s="2" t="inlineStr">
        <is>
          <t>Equipo/partido</t>
        </is>
      </c>
    </row>
    <row r="9">
      <c r="A9" s="2" t="inlineStr">
        <is>
          <t>Pases</t>
        </is>
      </c>
      <c r="B9" s="2" t="inlineStr">
        <is>
          <t>Promedio pases + frecuencia</t>
        </is>
      </c>
      <c r="C9" s="2" t="inlineStr"/>
      <c r="D9" s="2" t="inlineStr">
        <is>
          <t>Over/Under</t>
        </is>
      </c>
      <c r="E9" s="2" t="inlineStr">
        <is>
          <t>Muestra &gt;= 5</t>
        </is>
      </c>
      <c r="F9" s="2" t="inlineStr">
        <is>
          <t>Fase posterior</t>
        </is>
      </c>
    </row>
    <row r="10">
      <c r="A10" s="2" t="inlineStr">
        <is>
          <t>Faltas</t>
        </is>
      </c>
      <c r="B10" s="2" t="inlineStr">
        <is>
          <t>Promedio faltas + frecuencia</t>
        </is>
      </c>
      <c r="C10" s="2" t="inlineStr">
        <is>
          <t>24.5</t>
        </is>
      </c>
      <c r="D10" s="2" t="inlineStr">
        <is>
          <t>Over/Under</t>
        </is>
      </c>
      <c r="E10" s="2" t="inlineStr">
        <is>
          <t>Muestra &gt;= 5</t>
        </is>
      </c>
      <c r="F10" s="2" t="inlineStr">
        <is>
          <t>Fase posterior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</cols>
  <sheetData>
    <row r="1">
      <c r="A1" s="12" t="inlineStr">
        <is>
          <t>PARÁMETRO</t>
        </is>
      </c>
      <c r="B1" s="12" t="inlineStr">
        <is>
          <t>VALOR</t>
        </is>
      </c>
      <c r="C1" s="12" t="inlineStr">
        <is>
          <t>USO</t>
        </is>
      </c>
    </row>
    <row r="2">
      <c r="A2" s="2" t="inlineStr">
        <is>
          <t>Peso forma últimos 5</t>
        </is>
      </c>
      <c r="B2" s="3" t="n">
        <v>0.2</v>
      </c>
      <c r="C2" s="2" t="inlineStr">
        <is>
          <t>Forma reciente</t>
        </is>
      </c>
    </row>
    <row r="3">
      <c r="A3" s="2" t="inlineStr">
        <is>
          <t>Peso forma últimos 10</t>
        </is>
      </c>
      <c r="B3" s="3" t="n">
        <v>0.15</v>
      </c>
      <c r="C3" s="2" t="inlineStr">
        <is>
          <t>Estabilidad</t>
        </is>
      </c>
    </row>
    <row r="4">
      <c r="A4" s="2" t="inlineStr">
        <is>
          <t>Peso local/visitante</t>
        </is>
      </c>
      <c r="B4" s="3" t="n">
        <v>0.15</v>
      </c>
      <c r="C4" s="2" t="inlineStr">
        <is>
          <t>Split contextual</t>
        </is>
      </c>
    </row>
    <row r="5">
      <c r="A5" s="2" t="inlineStr">
        <is>
          <t>Peso tendencia mercado</t>
        </is>
      </c>
      <c r="B5" s="3" t="n">
        <v>0.25</v>
      </c>
      <c r="C5" s="2" t="inlineStr">
        <is>
          <t>Variable principal del mercado</t>
        </is>
      </c>
    </row>
    <row r="6">
      <c r="A6" s="2" t="inlineStr">
        <is>
          <t>Peso consistencia</t>
        </is>
      </c>
      <c r="B6" s="3" t="n">
        <v>0.1</v>
      </c>
      <c r="C6" s="2" t="inlineStr">
        <is>
          <t>Regularidad</t>
        </is>
      </c>
    </row>
    <row r="7">
      <c r="A7" s="2" t="inlineStr">
        <is>
          <t>Peso H2H</t>
        </is>
      </c>
      <c r="B7" s="3" t="n">
        <v>0.05</v>
      </c>
      <c r="C7" s="2" t="inlineStr">
        <is>
          <t>Complementario</t>
        </is>
      </c>
    </row>
    <row r="8">
      <c r="A8" s="2" t="inlineStr">
        <is>
          <t>Peso contexto</t>
        </is>
      </c>
      <c r="B8" s="3" t="n">
        <v>0.1</v>
      </c>
      <c r="C8" s="2" t="inlineStr">
        <is>
          <t>Alineaciones/lesiones/movimiento</t>
        </is>
      </c>
    </row>
    <row r="9">
      <c r="A9" s="2" t="inlineStr">
        <is>
          <t>Confianza mínima</t>
        </is>
      </c>
      <c r="B9" s="2" t="n">
        <v>70</v>
      </c>
      <c r="C9" s="2" t="inlineStr">
        <is>
          <t>Score mínimo</t>
        </is>
      </c>
    </row>
    <row r="10">
      <c r="A10" s="2" t="inlineStr">
        <is>
          <t>Confianza fuerte</t>
        </is>
      </c>
      <c r="B10" s="2" t="n">
        <v>80</v>
      </c>
      <c r="C10" s="2" t="inlineStr">
        <is>
          <t>Score fuerte</t>
        </is>
      </c>
    </row>
    <row r="11">
      <c r="A11" s="2" t="inlineStr">
        <is>
          <t>Muestra mínima</t>
        </is>
      </c>
      <c r="B11" s="2" t="n">
        <v>5</v>
      </c>
      <c r="C11" s="2" t="inlineStr">
        <is>
          <t>Mínimo de observaciones</t>
        </is>
      </c>
    </row>
    <row r="12">
      <c r="A12" s="2" t="inlineStr">
        <is>
          <t>Cuota mínima</t>
        </is>
      </c>
      <c r="B12" s="2" t="n">
        <v>1.5</v>
      </c>
      <c r="C12" s="2" t="inlineStr">
        <is>
          <t>Filtro</t>
        </is>
      </c>
    </row>
    <row r="13">
      <c r="A13" s="2" t="inlineStr">
        <is>
          <t>Cuota máxima</t>
        </is>
      </c>
      <c r="B13" s="2" t="n">
        <v>2.5</v>
      </c>
      <c r="C13" s="2" t="inlineStr">
        <is>
          <t>Filtro</t>
        </is>
      </c>
    </row>
    <row r="14">
      <c r="A14" s="2" t="inlineStr">
        <is>
          <t>EV mínimo</t>
        </is>
      </c>
      <c r="B14" s="3" t="n">
        <v>0.05</v>
      </c>
      <c r="C14" s="2" t="inlineStr">
        <is>
          <t>Filtro de valor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width="25" customWidth="1" min="5" max="5"/>
    <col width="22" customWidth="1" min="6" max="6"/>
    <col width="28" customWidth="1" min="7" max="7"/>
    <col width="10" customWidth="1" min="8" max="8"/>
    <col width="14" customWidth="1" min="9" max="9"/>
    <col width="16" customWidth="1" min="10" max="10"/>
    <col width="18" customWidth="1" min="11" max="11"/>
    <col width="14" customWidth="1" min="12" max="12"/>
    <col width="16" customWidth="1" min="13" max="13"/>
    <col width="12" customWidth="1" min="14" max="14"/>
    <col width="14" customWidth="1" min="15" max="15"/>
    <col width="1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8" customWidth="1" min="25" max="25"/>
    <col width="48" customWidth="1" min="26" max="26"/>
  </cols>
  <sheetData>
    <row r="1">
      <c r="A1" s="5" t="inlineStr">
        <is>
          <t>ID</t>
        </is>
      </c>
      <c r="B1" s="5" t="inlineStr">
        <is>
          <t>FECHA</t>
        </is>
      </c>
      <c r="C1" s="5" t="inlineStr">
        <is>
          <t>HORA</t>
        </is>
      </c>
      <c r="D1" s="5" t="inlineStr">
        <is>
          <t>LIGA</t>
        </is>
      </c>
      <c r="E1" s="5" t="inlineStr">
        <is>
          <t>PARTIDO</t>
        </is>
      </c>
      <c r="F1" s="5" t="inlineStr">
        <is>
          <t>MERCADO</t>
        </is>
      </c>
      <c r="G1" s="5" t="inlineStr">
        <is>
          <t>SELECCIÓN</t>
        </is>
      </c>
      <c r="H1" s="5" t="inlineStr">
        <is>
          <t>CUOTA</t>
        </is>
      </c>
      <c r="I1" s="5" t="inlineStr">
        <is>
          <t>FORMA_LOCAL</t>
        </is>
      </c>
      <c r="J1" s="5" t="inlineStr">
        <is>
          <t>FORMA_VISITANTE</t>
        </is>
      </c>
      <c r="K1" s="5" t="inlineStr">
        <is>
          <t>PROMEDIO_MERCADO</t>
        </is>
      </c>
      <c r="L1" s="5" t="inlineStr">
        <is>
          <t>TENDENCIA</t>
        </is>
      </c>
      <c r="M1" s="5" t="inlineStr">
        <is>
          <t>LOCAL_VISITANTE</t>
        </is>
      </c>
      <c r="N1" s="5" t="inlineStr">
        <is>
          <t>H2H</t>
        </is>
      </c>
      <c r="O1" s="5" t="inlineStr">
        <is>
          <t>ALINEACIONES</t>
        </is>
      </c>
      <c r="P1" s="5" t="inlineStr">
        <is>
          <t>LESIONES</t>
        </is>
      </c>
      <c r="Q1" s="5" t="inlineStr">
        <is>
          <t>MOV_CUOTA</t>
        </is>
      </c>
      <c r="R1" s="5" t="inlineStr">
        <is>
          <t>MUESTRA</t>
        </is>
      </c>
      <c r="S1" s="5" t="inlineStr">
        <is>
          <t>PROB_MODELO</t>
        </is>
      </c>
      <c r="T1" s="5" t="inlineStr">
        <is>
          <t>PROB_IMPLÍCITA</t>
        </is>
      </c>
      <c r="U1" s="5" t="inlineStr">
        <is>
          <t>MARGEN_PP</t>
        </is>
      </c>
      <c r="V1" s="5" t="inlineStr">
        <is>
          <t>EV</t>
        </is>
      </c>
      <c r="W1" s="5" t="inlineStr">
        <is>
          <t>PUNTUACIÓN</t>
        </is>
      </c>
      <c r="X1" s="5" t="inlineStr">
        <is>
          <t>NIVEL</t>
        </is>
      </c>
      <c r="Y1" s="5" t="inlineStr">
        <is>
          <t>DECISIÓN</t>
        </is>
      </c>
      <c r="Z1" s="5" t="inlineStr">
        <is>
          <t>MOTIVO</t>
        </is>
      </c>
    </row>
    <row r="2">
      <c r="A2" s="2">
        <f>IF(E2="","",ROW()-1)</f>
        <v/>
      </c>
      <c r="B2" s="2" t="inlineStr">
        <is>
          <t>2026-08-19</t>
        </is>
      </c>
      <c r="C2" s="2" t="inlineStr">
        <is>
          <t>02:00</t>
        </is>
      </c>
      <c r="D2" s="2" t="inlineStr">
        <is>
          <t>OFC Champions League</t>
        </is>
      </c>
      <c r="E2" s="2" t="inlineStr">
        <is>
          <t>ABM Galaxy vs Central Coast</t>
        </is>
      </c>
      <c r="F2" s="2" t="inlineStr">
        <is>
          <t>PENDIENTE</t>
        </is>
      </c>
      <c r="G2" s="2" t="inlineStr">
        <is>
          <t>SELECCIONAR MERCADO</t>
        </is>
      </c>
      <c r="H2" s="6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2" t="n"/>
      <c r="S2" s="7" t="n"/>
      <c r="T2" s="7">
        <f>IFERROR(1/H2,"")</f>
        <v/>
      </c>
      <c r="U2" s="7">
        <f>IF(OR(S2="",T2=""),"",S2-T2)</f>
        <v/>
      </c>
      <c r="V2" s="7">
        <f>IF(OR(S2="",H2=""),"",S2*H2-1)</f>
        <v/>
      </c>
      <c r="W2" s="2">
        <f>IF(E2="","",ROUND(100*(0.22*I2+0.18*J2+0.18*K2+0.10*L2+0.08*M2+0.06*N2+0.06*O2+0.04*P2+0.04*Q2+0.04*MIN(R2/10,1)),0))</f>
        <v/>
      </c>
      <c r="X2" s="2">
        <f>IF(W2="","",IF(W2&gt;=CONFIG!$B$11,"FUERTE",IF(W2&gt;=CONFIG!$B$12,"MEDIA","BAJA")))</f>
        <v/>
      </c>
      <c r="Y2" s="2">
        <f>IF(OR(H2="",S2=""),"",IF(OR(H2&lt;CONFIG!$B$2,H2&gt;CONFIG!$B$3),"NO APTO",IF(S2&lt;IF(H2&lt;1.6,CONFIG!$B$4,IF(H2&lt;1.7,CONFIG!$B$5,IF(H2&lt;1.8,CONFIG!$B$6,IF(H2&lt;2,CONFIG!$B$7,IF(H2&lt;2.2,CONFIG!$B$8,CONFIG!$B$9))))),"NO APTO",IF(V2&lt;CONFIG!$B$10,"NO APTO",IF(AND(W2&gt;=CONFIG!$B$11,R2&gt;=CONFIG!$B$13),"ALERTA FUERTE",IF(AND(W2&gt;=CONFIG!$B$12,R2&gt;=CONFIG!$B$13),"ALERTA MEDIA","NO APTO"))))))</f>
        <v/>
      </c>
      <c r="Z2" s="2">
        <f>IF(Y2="","",IF(Y2="NO APTO","Revisar cuota/probabilidad/EV/puntuación/muestra",IF(Y2="ALERTA FUERTE","Cumple filtros de cuota + probabilidad + EV + confianza + muestra","Cumple filtros, pero confianza inferior a FUERTE")))</f>
        <v/>
      </c>
    </row>
    <row r="3">
      <c r="A3" s="2">
        <f>IF(E3="","",ROW()-1)</f>
        <v/>
      </c>
      <c r="B3" s="2" t="inlineStr">
        <is>
          <t>2026-08-19</t>
        </is>
      </c>
      <c r="C3" s="2" t="inlineStr">
        <is>
          <t>03:00</t>
        </is>
      </c>
      <c r="D3" s="2" t="inlineStr">
        <is>
          <t>U19 League</t>
        </is>
      </c>
      <c r="E3" s="2" t="inlineStr">
        <is>
          <t>LNZ Cherkasy U19 vs Lviv U19</t>
        </is>
      </c>
      <c r="F3" s="2" t="inlineStr">
        <is>
          <t>PENDIENTE</t>
        </is>
      </c>
      <c r="G3" s="2" t="inlineStr">
        <is>
          <t>SELECCIONAR MERCADO</t>
        </is>
      </c>
      <c r="H3" s="6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2" t="n"/>
      <c r="S3" s="7" t="n"/>
      <c r="T3" s="7">
        <f>IFERROR(1/H3,"")</f>
        <v/>
      </c>
      <c r="U3" s="7">
        <f>IF(OR(S3="",T3=""),"",S3-T3)</f>
        <v/>
      </c>
      <c r="V3" s="7">
        <f>IF(OR(S3="",H3=""),"",S3*H3-1)</f>
        <v/>
      </c>
      <c r="W3" s="2">
        <f>IF(E3="","",ROUND(100*(0.22*I3+0.18*J3+0.18*K3+0.10*L3+0.08*M3+0.06*N3+0.06*O3+0.04*P3+0.04*Q3+0.04*MIN(R3/10,1)),0))</f>
        <v/>
      </c>
      <c r="X3" s="2">
        <f>IF(W3="","",IF(W3&gt;=CONFIG!$B$11,"FUERTE",IF(W3&gt;=CONFIG!$B$12,"MEDIA","BAJA")))</f>
        <v/>
      </c>
      <c r="Y3" s="2">
        <f>IF(OR(H3="",S3=""),"",IF(OR(H3&lt;CONFIG!$B$2,H3&gt;CONFIG!$B$3),"NO APTO",IF(S3&lt;IF(H3&lt;1.6,CONFIG!$B$4,IF(H3&lt;1.7,CONFIG!$B$5,IF(H3&lt;1.8,CONFIG!$B$6,IF(H3&lt;2,CONFIG!$B$7,IF(H3&lt;2.2,CONFIG!$B$8,CONFIG!$B$9))))),"NO APTO",IF(V3&lt;CONFIG!$B$10,"NO APTO",IF(AND(W3&gt;=CONFIG!$B$11,R3&gt;=CONFIG!$B$13),"ALERTA FUERTE",IF(AND(W3&gt;=CONFIG!$B$12,R3&gt;=CONFIG!$B$13),"ALERTA MEDIA","NO APTO"))))))</f>
        <v/>
      </c>
      <c r="Z3" s="2">
        <f>IF(Y3="","",IF(Y3="NO APTO","Revisar cuota/probabilidad/EV/puntuación/muestra",IF(Y3="ALERTA FUERTE","Cumple filtros de cuota + probabilidad + EV + confianza + muestra","Cumple filtros, pero confianza inferior a FUERTE")))</f>
        <v/>
      </c>
    </row>
    <row r="4">
      <c r="A4" s="2">
        <f>IF(E4="","",ROW()-1)</f>
        <v/>
      </c>
      <c r="B4" s="2" t="inlineStr">
        <is>
          <t>2026-08-19</t>
        </is>
      </c>
      <c r="C4" s="2" t="inlineStr">
        <is>
          <t>03:00</t>
        </is>
      </c>
      <c r="D4" s="2" t="inlineStr">
        <is>
          <t>Emperor Cup</t>
        </is>
      </c>
      <c r="E4" s="2" t="inlineStr">
        <is>
          <t>Arterivo Wakayama vs Azul Claro Numazu</t>
        </is>
      </c>
      <c r="F4" s="2" t="inlineStr">
        <is>
          <t>PENDIENTE</t>
        </is>
      </c>
      <c r="G4" s="2" t="inlineStr">
        <is>
          <t>SELECCIONAR MERCADO</t>
        </is>
      </c>
      <c r="H4" s="6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2" t="n"/>
      <c r="S4" s="7" t="n"/>
      <c r="T4" s="7">
        <f>IFERROR(1/H4,"")</f>
        <v/>
      </c>
      <c r="U4" s="7">
        <f>IF(OR(S4="",T4=""),"",S4-T4)</f>
        <v/>
      </c>
      <c r="V4" s="7">
        <f>IF(OR(S4="",H4=""),"",S4*H4-1)</f>
        <v/>
      </c>
      <c r="W4" s="2">
        <f>IF(E4="","",ROUND(100*(0.22*I4+0.18*J4+0.18*K4+0.10*L4+0.08*M4+0.06*N4+0.06*O4+0.04*P4+0.04*Q4+0.04*MIN(R4/10,1)),0))</f>
        <v/>
      </c>
      <c r="X4" s="2">
        <f>IF(W4="","",IF(W4&gt;=CONFIG!$B$11,"FUERTE",IF(W4&gt;=CONFIG!$B$12,"MEDIA","BAJA")))</f>
        <v/>
      </c>
      <c r="Y4" s="2">
        <f>IF(OR(H4="",S4=""),"",IF(OR(H4&lt;CONFIG!$B$2,H4&gt;CONFIG!$B$3),"NO APTO",IF(S4&lt;IF(H4&lt;1.6,CONFIG!$B$4,IF(H4&lt;1.7,CONFIG!$B$5,IF(H4&lt;1.8,CONFIG!$B$6,IF(H4&lt;2,CONFIG!$B$7,IF(H4&lt;2.2,CONFIG!$B$8,CONFIG!$B$9))))),"NO APTO",IF(V4&lt;CONFIG!$B$10,"NO APTO",IF(AND(W4&gt;=CONFIG!$B$11,R4&gt;=CONFIG!$B$13),"ALERTA FUERTE",IF(AND(W4&gt;=CONFIG!$B$12,R4&gt;=CONFIG!$B$13),"ALERTA MEDIA","NO APTO"))))))</f>
        <v/>
      </c>
      <c r="Z4" s="2">
        <f>IF(Y4="","",IF(Y4="NO APTO","Revisar cuota/probabilidad/EV/puntuación/muestra",IF(Y4="ALERTA FUERTE","Cumple filtros de cuota + probabilidad + EV + confianza + muestra","Cumple filtros, pero confianza inferior a FUERTE")))</f>
        <v/>
      </c>
    </row>
    <row r="5">
      <c r="A5" s="2">
        <f>IF(E5="","",ROW()-1)</f>
        <v/>
      </c>
      <c r="B5" s="2" t="inlineStr">
        <is>
          <t>2026-08-19</t>
        </is>
      </c>
      <c r="C5" s="2" t="inlineStr">
        <is>
          <t>03:00</t>
        </is>
      </c>
      <c r="D5" s="2" t="inlineStr">
        <is>
          <t>Friendlies Clubs</t>
        </is>
      </c>
      <c r="E5" s="2" t="inlineStr">
        <is>
          <t>Dong Thap vs Ho Chi Minh</t>
        </is>
      </c>
      <c r="F5" s="2" t="inlineStr">
        <is>
          <t>PENDIENTE</t>
        </is>
      </c>
      <c r="G5" s="2" t="inlineStr">
        <is>
          <t>SELECCIONAR MERCADO</t>
        </is>
      </c>
      <c r="H5" s="6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2" t="n"/>
      <c r="S5" s="7" t="n"/>
      <c r="T5" s="7">
        <f>IFERROR(1/H5,"")</f>
        <v/>
      </c>
      <c r="U5" s="7">
        <f>IF(OR(S5="",T5=""),"",S5-T5)</f>
        <v/>
      </c>
      <c r="V5" s="7">
        <f>IF(OR(S5="",H5=""),"",S5*H5-1)</f>
        <v/>
      </c>
      <c r="W5" s="2">
        <f>IF(E5="","",ROUND(100*(0.22*I5+0.18*J5+0.18*K5+0.10*L5+0.08*M5+0.06*N5+0.06*O5+0.04*P5+0.04*Q5+0.04*MIN(R5/10,1)),0))</f>
        <v/>
      </c>
      <c r="X5" s="2">
        <f>IF(W5="","",IF(W5&gt;=CONFIG!$B$11,"FUERTE",IF(W5&gt;=CONFIG!$B$12,"MEDIA","BAJA")))</f>
        <v/>
      </c>
      <c r="Y5" s="2">
        <f>IF(OR(H5="",S5=""),"",IF(OR(H5&lt;CONFIG!$B$2,H5&gt;CONFIG!$B$3),"NO APTO",IF(S5&lt;IF(H5&lt;1.6,CONFIG!$B$4,IF(H5&lt;1.7,CONFIG!$B$5,IF(H5&lt;1.8,CONFIG!$B$6,IF(H5&lt;2,CONFIG!$B$7,IF(H5&lt;2.2,CONFIG!$B$8,CONFIG!$B$9))))),"NO APTO",IF(V5&lt;CONFIG!$B$10,"NO APTO",IF(AND(W5&gt;=CONFIG!$B$11,R5&gt;=CONFIG!$B$13),"ALERTA FUERTE",IF(AND(W5&gt;=CONFIG!$B$12,R5&gt;=CONFIG!$B$13),"ALERTA MEDIA","NO APTO"))))))</f>
        <v/>
      </c>
      <c r="Z5" s="2">
        <f>IF(Y5="","",IF(Y5="NO APTO","Revisar cuota/probabilidad/EV/puntuación/muestra",IF(Y5="ALERTA FUERTE","Cumple filtros de cuota + probabilidad + EV + confianza + muestra","Cumple filtros, pero confianza inferior a FUERTE")))</f>
        <v/>
      </c>
    </row>
    <row r="6">
      <c r="A6" s="2">
        <f>IF(E6="","",ROW()-1)</f>
        <v/>
      </c>
      <c r="B6" s="2" t="inlineStr">
        <is>
          <t>2026-08-19</t>
        </is>
      </c>
      <c r="C6" s="2" t="inlineStr">
        <is>
          <t>03:00</t>
        </is>
      </c>
      <c r="D6" s="2" t="inlineStr">
        <is>
          <t>Friendlies Clubs</t>
        </is>
      </c>
      <c r="E6" s="2" t="inlineStr">
        <is>
          <t>Elche II vs FC Cartagena</t>
        </is>
      </c>
      <c r="F6" s="2" t="inlineStr">
        <is>
          <t>PENDIENTE</t>
        </is>
      </c>
      <c r="G6" s="2" t="inlineStr">
        <is>
          <t>SELECCIONAR MERCADO</t>
        </is>
      </c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2" t="n"/>
      <c r="S6" s="7" t="n"/>
      <c r="T6" s="7">
        <f>IFERROR(1/H6,"")</f>
        <v/>
      </c>
      <c r="U6" s="7">
        <f>IF(OR(S6="",T6=""),"",S6-T6)</f>
        <v/>
      </c>
      <c r="V6" s="7">
        <f>IF(OR(S6="",H6=""),"",S6*H6-1)</f>
        <v/>
      </c>
      <c r="W6" s="2">
        <f>IF(E6="","",ROUND(100*(0.22*I6+0.18*J6+0.18*K6+0.10*L6+0.08*M6+0.06*N6+0.06*O6+0.04*P6+0.04*Q6+0.04*MIN(R6/10,1)),0))</f>
        <v/>
      </c>
      <c r="X6" s="2">
        <f>IF(W6="","",IF(W6&gt;=CONFIG!$B$11,"FUERTE",IF(W6&gt;=CONFIG!$B$12,"MEDIA","BAJA")))</f>
        <v/>
      </c>
      <c r="Y6" s="2">
        <f>IF(OR(H6="",S6=""),"",IF(OR(H6&lt;CONFIG!$B$2,H6&gt;CONFIG!$B$3),"NO APTO",IF(S6&lt;IF(H6&lt;1.6,CONFIG!$B$4,IF(H6&lt;1.7,CONFIG!$B$5,IF(H6&lt;1.8,CONFIG!$B$6,IF(H6&lt;2,CONFIG!$B$7,IF(H6&lt;2.2,CONFIG!$B$8,CONFIG!$B$9))))),"NO APTO",IF(V6&lt;CONFIG!$B$10,"NO APTO",IF(AND(W6&gt;=CONFIG!$B$11,R6&gt;=CONFIG!$B$13),"ALERTA FUERTE",IF(AND(W6&gt;=CONFIG!$B$12,R6&gt;=CONFIG!$B$13),"ALERTA MEDIA","NO APTO"))))))</f>
        <v/>
      </c>
      <c r="Z6" s="2">
        <f>IF(Y6="","",IF(Y6="NO APTO","Revisar cuota/probabilidad/EV/puntuación/muestra",IF(Y6="ALERTA FUERTE","Cumple filtros de cuota + probabilidad + EV + confianza + muestra","Cumple filtros, pero confianza inferior a FUERTE")))</f>
        <v/>
      </c>
    </row>
    <row r="7">
      <c r="A7" s="2">
        <f>IF(E7="","",ROW()-1)</f>
        <v/>
      </c>
      <c r="B7" s="2" t="inlineStr">
        <is>
          <t>2026-08-19</t>
        </is>
      </c>
      <c r="C7" s="2" t="inlineStr">
        <is>
          <t>04:00</t>
        </is>
      </c>
      <c r="D7" s="2" t="inlineStr">
        <is>
          <t>NB III - Southeast</t>
        </is>
      </c>
      <c r="E7" s="2" t="inlineStr">
        <is>
          <t>Vasas II vs Honvéd II</t>
        </is>
      </c>
      <c r="F7" s="2" t="inlineStr">
        <is>
          <t>PENDIENTE</t>
        </is>
      </c>
      <c r="G7" s="2" t="inlineStr">
        <is>
          <t>SELECCIONAR MERCADO</t>
        </is>
      </c>
      <c r="H7" s="6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2" t="n"/>
      <c r="S7" s="7" t="n"/>
      <c r="T7" s="7">
        <f>IFERROR(1/H7,"")</f>
        <v/>
      </c>
      <c r="U7" s="7">
        <f>IF(OR(S7="",T7=""),"",S7-T7)</f>
        <v/>
      </c>
      <c r="V7" s="7">
        <f>IF(OR(S7="",H7=""),"",S7*H7-1)</f>
        <v/>
      </c>
      <c r="W7" s="2">
        <f>IF(E7="","",ROUND(100*(0.22*I7+0.18*J7+0.18*K7+0.10*L7+0.08*M7+0.06*N7+0.06*O7+0.04*P7+0.04*Q7+0.04*MIN(R7/10,1)),0))</f>
        <v/>
      </c>
      <c r="X7" s="2">
        <f>IF(W7="","",IF(W7&gt;=CONFIG!$B$11,"FUERTE",IF(W7&gt;=CONFIG!$B$12,"MEDIA","BAJA")))</f>
        <v/>
      </c>
      <c r="Y7" s="2">
        <f>IF(OR(H7="",S7=""),"",IF(OR(H7&lt;CONFIG!$B$2,H7&gt;CONFIG!$B$3),"NO APTO",IF(S7&lt;IF(H7&lt;1.6,CONFIG!$B$4,IF(H7&lt;1.7,CONFIG!$B$5,IF(H7&lt;1.8,CONFIG!$B$6,IF(H7&lt;2,CONFIG!$B$7,IF(H7&lt;2.2,CONFIG!$B$8,CONFIG!$B$9))))),"NO APTO",IF(V7&lt;CONFIG!$B$10,"NO APTO",IF(AND(W7&gt;=CONFIG!$B$11,R7&gt;=CONFIG!$B$13),"ALERTA FUERTE",IF(AND(W7&gt;=CONFIG!$B$12,R7&gt;=CONFIG!$B$13),"ALERTA MEDIA","NO APTO"))))))</f>
        <v/>
      </c>
      <c r="Z7" s="2">
        <f>IF(Y7="","",IF(Y7="NO APTO","Revisar cuota/probabilidad/EV/puntuación/muestra",IF(Y7="ALERTA FUERTE","Cumple filtros de cuota + probabilidad + EV + confianza + muestra","Cumple filtros, pero confianza inferior a FUERTE")))</f>
        <v/>
      </c>
    </row>
    <row r="8">
      <c r="A8" s="2">
        <f>IF(E8="","",ROW()-1)</f>
        <v/>
      </c>
      <c r="B8" s="2" t="inlineStr">
        <is>
          <t>2026-08-19</t>
        </is>
      </c>
      <c r="C8" s="2" t="inlineStr">
        <is>
          <t>04:00</t>
        </is>
      </c>
      <c r="D8" s="2" t="inlineStr">
        <is>
          <t>U19 Bundesliga</t>
        </is>
      </c>
      <c r="E8" s="2" t="inlineStr">
        <is>
          <t>Dynamo Dresden U19 vs Eintracht Frankf U19</t>
        </is>
      </c>
      <c r="F8" s="2" t="inlineStr">
        <is>
          <t>PENDIENTE</t>
        </is>
      </c>
      <c r="G8" s="2" t="inlineStr">
        <is>
          <t>SELECCIONAR MERCADO</t>
        </is>
      </c>
      <c r="H8" s="6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2" t="n"/>
      <c r="S8" s="7" t="n"/>
      <c r="T8" s="7">
        <f>IFERROR(1/H8,"")</f>
        <v/>
      </c>
      <c r="U8" s="7">
        <f>IF(OR(S8="",T8=""),"",S8-T8)</f>
        <v/>
      </c>
      <c r="V8" s="7">
        <f>IF(OR(S8="",H8=""),"",S8*H8-1)</f>
        <v/>
      </c>
      <c r="W8" s="2">
        <f>IF(E8="","",ROUND(100*(0.22*I8+0.18*J8+0.18*K8+0.10*L8+0.08*M8+0.06*N8+0.06*O8+0.04*P8+0.04*Q8+0.04*MIN(R8/10,1)),0))</f>
        <v/>
      </c>
      <c r="X8" s="2">
        <f>IF(W8="","",IF(W8&gt;=CONFIG!$B$11,"FUERTE",IF(W8&gt;=CONFIG!$B$12,"MEDIA","BAJA")))</f>
        <v/>
      </c>
      <c r="Y8" s="2">
        <f>IF(OR(H8="",S8=""),"",IF(OR(H8&lt;CONFIG!$B$2,H8&gt;CONFIG!$B$3),"NO APTO",IF(S8&lt;IF(H8&lt;1.6,CONFIG!$B$4,IF(H8&lt;1.7,CONFIG!$B$5,IF(H8&lt;1.8,CONFIG!$B$6,IF(H8&lt;2,CONFIG!$B$7,IF(H8&lt;2.2,CONFIG!$B$8,CONFIG!$B$9))))),"NO APTO",IF(V8&lt;CONFIG!$B$10,"NO APTO",IF(AND(W8&gt;=CONFIG!$B$11,R8&gt;=CONFIG!$B$13),"ALERTA FUERTE",IF(AND(W8&gt;=CONFIG!$B$12,R8&gt;=CONFIG!$B$13),"ALERTA MEDIA","NO APTO"))))))</f>
        <v/>
      </c>
      <c r="Z8" s="2">
        <f>IF(Y8="","",IF(Y8="NO APTO","Revisar cuota/probabilidad/EV/puntuación/muestra",IF(Y8="ALERTA FUERTE","Cumple filtros de cuota + probabilidad + EV + confianza + muestra","Cumple filtros, pero confianza inferior a FUERTE")))</f>
        <v/>
      </c>
    </row>
    <row r="9">
      <c r="A9" s="2">
        <f>IF(E9="","",ROW()-1)</f>
        <v/>
      </c>
      <c r="B9" s="2" t="inlineStr">
        <is>
          <t>2026-08-19</t>
        </is>
      </c>
      <c r="C9" s="2" t="inlineStr">
        <is>
          <t>04:00</t>
        </is>
      </c>
      <c r="D9" s="2" t="inlineStr">
        <is>
          <t>U19 League</t>
        </is>
      </c>
      <c r="E9" s="2" t="inlineStr">
        <is>
          <t>Dynamo Kyiv U19 vs SK Metalurh U19</t>
        </is>
      </c>
      <c r="F9" s="2" t="inlineStr">
        <is>
          <t>PENDIENTE</t>
        </is>
      </c>
      <c r="G9" s="2" t="inlineStr">
        <is>
          <t>SELECCIONAR MERCADO</t>
        </is>
      </c>
      <c r="H9" s="6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2" t="n"/>
      <c r="S9" s="7" t="n"/>
      <c r="T9" s="7">
        <f>IFERROR(1/H9,"")</f>
        <v/>
      </c>
      <c r="U9" s="7">
        <f>IF(OR(S9="",T9=""),"",S9-T9)</f>
        <v/>
      </c>
      <c r="V9" s="7">
        <f>IF(OR(S9="",H9=""),"",S9*H9-1)</f>
        <v/>
      </c>
      <c r="W9" s="2">
        <f>IF(E9="","",ROUND(100*(0.22*I9+0.18*J9+0.18*K9+0.10*L9+0.08*M9+0.06*N9+0.06*O9+0.04*P9+0.04*Q9+0.04*MIN(R9/10,1)),0))</f>
        <v/>
      </c>
      <c r="X9" s="2">
        <f>IF(W9="","",IF(W9&gt;=CONFIG!$B$11,"FUERTE",IF(W9&gt;=CONFIG!$B$12,"MEDIA","BAJA")))</f>
        <v/>
      </c>
      <c r="Y9" s="2">
        <f>IF(OR(H9="",S9=""),"",IF(OR(H9&lt;CONFIG!$B$2,H9&gt;CONFIG!$B$3),"NO APTO",IF(S9&lt;IF(H9&lt;1.6,CONFIG!$B$4,IF(H9&lt;1.7,CONFIG!$B$5,IF(H9&lt;1.8,CONFIG!$B$6,IF(H9&lt;2,CONFIG!$B$7,IF(H9&lt;2.2,CONFIG!$B$8,CONFIG!$B$9))))),"NO APTO",IF(V9&lt;CONFIG!$B$10,"NO APTO",IF(AND(W9&gt;=CONFIG!$B$11,R9&gt;=CONFIG!$B$13),"ALERTA FUERTE",IF(AND(W9&gt;=CONFIG!$B$12,R9&gt;=CONFIG!$B$13),"ALERTA MEDIA","NO APTO"))))))</f>
        <v/>
      </c>
      <c r="Z9" s="2">
        <f>IF(Y9="","",IF(Y9="NO APTO","Revisar cuota/probabilidad/EV/puntuación/muestra",IF(Y9="ALERTA FUERTE","Cumple filtros de cuota + probabilidad + EV + confianza + muestra","Cumple filtros, pero confianza inferior a FUERTE")))</f>
        <v/>
      </c>
    </row>
    <row r="10">
      <c r="A10" s="2">
        <f>IF(E10="","",ROW()-1)</f>
        <v/>
      </c>
      <c r="B10" s="2" t="inlineStr">
        <is>
          <t>2026-08-19</t>
        </is>
      </c>
      <c r="C10" s="2" t="inlineStr">
        <is>
          <t>04:00</t>
        </is>
      </c>
      <c r="D10" s="2" t="inlineStr">
        <is>
          <t>Emperor Cup</t>
        </is>
      </c>
      <c r="E10" s="2" t="inlineStr">
        <is>
          <t>Beluga Rosso Iwami vs Nagasaki Intl University</t>
        </is>
      </c>
      <c r="F10" s="2" t="inlineStr">
        <is>
          <t>PENDIENTE</t>
        </is>
      </c>
      <c r="G10" s="2" t="inlineStr">
        <is>
          <t>SELECCIONAR MERCADO</t>
        </is>
      </c>
      <c r="H10" s="6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2" t="n"/>
      <c r="S10" s="7" t="n"/>
      <c r="T10" s="7">
        <f>IFERROR(1/H10,"")</f>
        <v/>
      </c>
      <c r="U10" s="7">
        <f>IF(OR(S10="",T10=""),"",S10-T10)</f>
        <v/>
      </c>
      <c r="V10" s="7">
        <f>IF(OR(S10="",H10=""),"",S10*H10-1)</f>
        <v/>
      </c>
      <c r="W10" s="2">
        <f>IF(E10="","",ROUND(100*(0.22*I10+0.18*J10+0.18*K10+0.10*L10+0.08*M10+0.06*N10+0.06*O10+0.04*P10+0.04*Q10+0.04*MIN(R10/10,1)),0))</f>
        <v/>
      </c>
      <c r="X10" s="2">
        <f>IF(W10="","",IF(W10&gt;=CONFIG!$B$11,"FUERTE",IF(W10&gt;=CONFIG!$B$12,"MEDIA","BAJA")))</f>
        <v/>
      </c>
      <c r="Y10" s="2">
        <f>IF(OR(H10="",S10=""),"",IF(OR(H10&lt;CONFIG!$B$2,H10&gt;CONFIG!$B$3),"NO APTO",IF(S10&lt;IF(H10&lt;1.6,CONFIG!$B$4,IF(H10&lt;1.7,CONFIG!$B$5,IF(H10&lt;1.8,CONFIG!$B$6,IF(H10&lt;2,CONFIG!$B$7,IF(H10&lt;2.2,CONFIG!$B$8,CONFIG!$B$9))))),"NO APTO",IF(V10&lt;CONFIG!$B$10,"NO APTO",IF(AND(W10&gt;=CONFIG!$B$11,R10&gt;=CONFIG!$B$13),"ALERTA FUERTE",IF(AND(W10&gt;=CONFIG!$B$12,R10&gt;=CONFIG!$B$13),"ALERTA MEDIA","NO APTO"))))))</f>
        <v/>
      </c>
      <c r="Z10" s="2">
        <f>IF(Y10="","",IF(Y10="NO APTO","Revisar cuota/probabilidad/EV/puntuación/muestra",IF(Y10="ALERTA FUERTE","Cumple filtros de cuota + probabilidad + EV + confianza + muestra","Cumple filtros, pero confianza inferior a FUERTE")))</f>
        <v/>
      </c>
    </row>
    <row r="11">
      <c r="A11" s="2">
        <f>IF(E11="","",ROW()-1)</f>
        <v/>
      </c>
      <c r="B11" s="2" t="inlineStr">
        <is>
          <t>2026-08-19</t>
        </is>
      </c>
      <c r="C11" s="2" t="inlineStr">
        <is>
          <t>04:00</t>
        </is>
      </c>
      <c r="D11" s="2" t="inlineStr">
        <is>
          <t>Emperor Cup</t>
        </is>
      </c>
      <c r="E11" s="2" t="inlineStr">
        <is>
          <t>Reinmeer Aomori vs Akita University</t>
        </is>
      </c>
      <c r="F11" s="2" t="inlineStr">
        <is>
          <t>PENDIENTE</t>
        </is>
      </c>
      <c r="G11" s="2" t="inlineStr">
        <is>
          <t>SELECCIONAR MERCADO</t>
        </is>
      </c>
      <c r="H11" s="6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2" t="n"/>
      <c r="S11" s="7" t="n"/>
      <c r="T11" s="7">
        <f>IFERROR(1/H11,"")</f>
        <v/>
      </c>
      <c r="U11" s="7">
        <f>IF(OR(S11="",T11=""),"",S11-T11)</f>
        <v/>
      </c>
      <c r="V11" s="7">
        <f>IF(OR(S11="",H11=""),"",S11*H11-1)</f>
        <v/>
      </c>
      <c r="W11" s="2">
        <f>IF(E11="","",ROUND(100*(0.22*I11+0.18*J11+0.18*K11+0.10*L11+0.08*M11+0.06*N11+0.06*O11+0.04*P11+0.04*Q11+0.04*MIN(R11/10,1)),0))</f>
        <v/>
      </c>
      <c r="X11" s="2">
        <f>IF(W11="","",IF(W11&gt;=CONFIG!$B$11,"FUERTE",IF(W11&gt;=CONFIG!$B$12,"MEDIA","BAJA")))</f>
        <v/>
      </c>
      <c r="Y11" s="2">
        <f>IF(OR(H11="",S11=""),"",IF(OR(H11&lt;CONFIG!$B$2,H11&gt;CONFIG!$B$3),"NO APTO",IF(S11&lt;IF(H11&lt;1.6,CONFIG!$B$4,IF(H11&lt;1.7,CONFIG!$B$5,IF(H11&lt;1.8,CONFIG!$B$6,IF(H11&lt;2,CONFIG!$B$7,IF(H11&lt;2.2,CONFIG!$B$8,CONFIG!$B$9))))),"NO APTO",IF(V11&lt;CONFIG!$B$10,"NO APTO",IF(AND(W11&gt;=CONFIG!$B$11,R11&gt;=CONFIG!$B$13),"ALERTA FUERTE",IF(AND(W11&gt;=CONFIG!$B$12,R11&gt;=CONFIG!$B$13),"ALERTA MEDIA","NO APTO"))))))</f>
        <v/>
      </c>
      <c r="Z11" s="2">
        <f>IF(Y11="","",IF(Y11="NO APTO","Revisar cuota/probabilidad/EV/puntuación/muestra",IF(Y11="ALERTA FUERTE","Cumple filtros de cuota + probabilidad + EV + confianza + muestra","Cumple filtros, pero confianza inferior a FUERTE")))</f>
        <v/>
      </c>
    </row>
    <row r="12">
      <c r="A12" s="2">
        <f>IF(E12="","",ROW()-1)</f>
        <v/>
      </c>
      <c r="B12" s="2" t="inlineStr">
        <is>
          <t>2026-08-19</t>
        </is>
      </c>
      <c r="C12" s="2" t="inlineStr">
        <is>
          <t>04:30</t>
        </is>
      </c>
      <c r="D12" s="2" t="inlineStr">
        <is>
          <t>Calcutta Premier Division</t>
        </is>
      </c>
      <c r="E12" s="2" t="inlineStr">
        <is>
          <t>Mohammedan vs Police</t>
        </is>
      </c>
      <c r="F12" s="2" t="inlineStr">
        <is>
          <t>PENDIENTE</t>
        </is>
      </c>
      <c r="G12" s="2" t="inlineStr">
        <is>
          <t>SELECCIONAR MERCADO</t>
        </is>
      </c>
      <c r="H12" s="6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2" t="n"/>
      <c r="S12" s="7" t="n"/>
      <c r="T12" s="7">
        <f>IFERROR(1/H12,"")</f>
        <v/>
      </c>
      <c r="U12" s="7">
        <f>IF(OR(S12="",T12=""),"",S12-T12)</f>
        <v/>
      </c>
      <c r="V12" s="7">
        <f>IF(OR(S12="",H12=""),"",S12*H12-1)</f>
        <v/>
      </c>
      <c r="W12" s="2">
        <f>IF(E12="","",ROUND(100*(0.22*I12+0.18*J12+0.18*K12+0.10*L12+0.08*M12+0.06*N12+0.06*O12+0.04*P12+0.04*Q12+0.04*MIN(R12/10,1)),0))</f>
        <v/>
      </c>
      <c r="X12" s="2">
        <f>IF(W12="","",IF(W12&gt;=CONFIG!$B$11,"FUERTE",IF(W12&gt;=CONFIG!$B$12,"MEDIA","BAJA")))</f>
        <v/>
      </c>
      <c r="Y12" s="2">
        <f>IF(OR(H12="",S12=""),"",IF(OR(H12&lt;CONFIG!$B$2,H12&gt;CONFIG!$B$3),"NO APTO",IF(S12&lt;IF(H12&lt;1.6,CONFIG!$B$4,IF(H12&lt;1.7,CONFIG!$B$5,IF(H12&lt;1.8,CONFIG!$B$6,IF(H12&lt;2,CONFIG!$B$7,IF(H12&lt;2.2,CONFIG!$B$8,CONFIG!$B$9))))),"NO APTO",IF(V12&lt;CONFIG!$B$10,"NO APTO",IF(AND(W12&gt;=CONFIG!$B$11,R12&gt;=CONFIG!$B$13),"ALERTA FUERTE",IF(AND(W12&gt;=CONFIG!$B$12,R12&gt;=CONFIG!$B$13),"ALERTA MEDIA","NO APTO"))))))</f>
        <v/>
      </c>
      <c r="Z12" s="2">
        <f>IF(Y12="","",IF(Y12="NO APTO","Revisar cuota/probabilidad/EV/puntuación/muestra",IF(Y12="ALERTA FUERTE","Cumple filtros de cuota + probabilidad + EV + confianza + muestra","Cumple filtros, pero confianza inferior a FUERTE")))</f>
        <v/>
      </c>
    </row>
    <row r="13">
      <c r="A13" s="2">
        <f>IF(E13="","",ROW()-1)</f>
        <v/>
      </c>
      <c r="B13" s="2" t="inlineStr">
        <is>
          <t>2026-08-19</t>
        </is>
      </c>
      <c r="C13" s="2" t="inlineStr">
        <is>
          <t>04:30</t>
        </is>
      </c>
      <c r="D13" s="2" t="inlineStr">
        <is>
          <t>Friendlies Clubs</t>
        </is>
      </c>
      <c r="E13" s="2" t="inlineStr">
        <is>
          <t>RSD Alcalá vs Gimnástica Segoviana</t>
        </is>
      </c>
      <c r="F13" s="2" t="inlineStr">
        <is>
          <t>PENDIENTE</t>
        </is>
      </c>
      <c r="G13" s="2" t="inlineStr">
        <is>
          <t>SELECCIONAR MERCADO</t>
        </is>
      </c>
      <c r="H13" s="6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2" t="n"/>
      <c r="S13" s="7" t="n"/>
      <c r="T13" s="7">
        <f>IFERROR(1/H13,"")</f>
        <v/>
      </c>
      <c r="U13" s="7">
        <f>IF(OR(S13="",T13=""),"",S13-T13)</f>
        <v/>
      </c>
      <c r="V13" s="7">
        <f>IF(OR(S13="",H13=""),"",S13*H13-1)</f>
        <v/>
      </c>
      <c r="W13" s="2">
        <f>IF(E13="","",ROUND(100*(0.22*I13+0.18*J13+0.18*K13+0.10*L13+0.08*M13+0.06*N13+0.06*O13+0.04*P13+0.04*Q13+0.04*MIN(R13/10,1)),0))</f>
        <v/>
      </c>
      <c r="X13" s="2">
        <f>IF(W13="","",IF(W13&gt;=CONFIG!$B$11,"FUERTE",IF(W13&gt;=CONFIG!$B$12,"MEDIA","BAJA")))</f>
        <v/>
      </c>
      <c r="Y13" s="2">
        <f>IF(OR(H13="",S13=""),"",IF(OR(H13&lt;CONFIG!$B$2,H13&gt;CONFIG!$B$3),"NO APTO",IF(S13&lt;IF(H13&lt;1.6,CONFIG!$B$4,IF(H13&lt;1.7,CONFIG!$B$5,IF(H13&lt;1.8,CONFIG!$B$6,IF(H13&lt;2,CONFIG!$B$7,IF(H13&lt;2.2,CONFIG!$B$8,CONFIG!$B$9))))),"NO APTO",IF(V13&lt;CONFIG!$B$10,"NO APTO",IF(AND(W13&gt;=CONFIG!$B$11,R13&gt;=CONFIG!$B$13),"ALERTA FUERTE",IF(AND(W13&gt;=CONFIG!$B$12,R13&gt;=CONFIG!$B$13),"ALERTA MEDIA","NO APTO"))))))</f>
        <v/>
      </c>
      <c r="Z13" s="2">
        <f>IF(Y13="","",IF(Y13="NO APTO","Revisar cuota/probabilidad/EV/puntuación/muestra",IF(Y13="ALERTA FUERTE","Cumple filtros de cuota + probabilidad + EV + confianza + muestra","Cumple filtros, pero confianza inferior a FUERTE")))</f>
        <v/>
      </c>
    </row>
    <row r="14">
      <c r="A14" s="2">
        <f>IF(E14="","",ROW()-1)</f>
        <v/>
      </c>
      <c r="B14" s="2" t="inlineStr">
        <is>
          <t>2026-08-19</t>
        </is>
      </c>
      <c r="C14" s="2" t="inlineStr">
        <is>
          <t>04:30</t>
        </is>
      </c>
      <c r="D14" s="2" t="inlineStr">
        <is>
          <t>Emperor Cup</t>
        </is>
      </c>
      <c r="E14" s="2" t="inlineStr">
        <is>
          <t>Suzuka Unlimited vs Basara Hyogo</t>
        </is>
      </c>
      <c r="F14" s="2" t="inlineStr">
        <is>
          <t>PENDIENTE</t>
        </is>
      </c>
      <c r="G14" s="2" t="inlineStr">
        <is>
          <t>SELECCIONAR MERCADO</t>
        </is>
      </c>
      <c r="H14" s="6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2" t="n"/>
      <c r="S14" s="7" t="n"/>
      <c r="T14" s="7">
        <f>IFERROR(1/H14,"")</f>
        <v/>
      </c>
      <c r="U14" s="7">
        <f>IF(OR(S14="",T14=""),"",S14-T14)</f>
        <v/>
      </c>
      <c r="V14" s="7">
        <f>IF(OR(S14="",H14=""),"",S14*H14-1)</f>
        <v/>
      </c>
      <c r="W14" s="2">
        <f>IF(E14="","",ROUND(100*(0.22*I14+0.18*J14+0.18*K14+0.10*L14+0.08*M14+0.06*N14+0.06*O14+0.04*P14+0.04*Q14+0.04*MIN(R14/10,1)),0))</f>
        <v/>
      </c>
      <c r="X14" s="2">
        <f>IF(W14="","",IF(W14&gt;=CONFIG!$B$11,"FUERTE",IF(W14&gt;=CONFIG!$B$12,"MEDIA","BAJA")))</f>
        <v/>
      </c>
      <c r="Y14" s="2">
        <f>IF(OR(H14="",S14=""),"",IF(OR(H14&lt;CONFIG!$B$2,H14&gt;CONFIG!$B$3),"NO APTO",IF(S14&lt;IF(H14&lt;1.6,CONFIG!$B$4,IF(H14&lt;1.7,CONFIG!$B$5,IF(H14&lt;1.8,CONFIG!$B$6,IF(H14&lt;2,CONFIG!$B$7,IF(H14&lt;2.2,CONFIG!$B$8,CONFIG!$B$9))))),"NO APTO",IF(V14&lt;CONFIG!$B$10,"NO APTO",IF(AND(W14&gt;=CONFIG!$B$11,R14&gt;=CONFIG!$B$13),"ALERTA FUERTE",IF(AND(W14&gt;=CONFIG!$B$12,R14&gt;=CONFIG!$B$13),"ALERTA MEDIA","NO APTO"))))))</f>
        <v/>
      </c>
      <c r="Z14" s="2">
        <f>IF(Y14="","",IF(Y14="NO APTO","Revisar cuota/probabilidad/EV/puntuación/muestra",IF(Y14="ALERTA FUERTE","Cumple filtros de cuota + probabilidad + EV + confianza + muestra","Cumple filtros, pero confianza inferior a FUERTE")))</f>
        <v/>
      </c>
    </row>
    <row r="15">
      <c r="A15" s="2">
        <f>IF(E15="","",ROW()-1)</f>
        <v/>
      </c>
      <c r="B15" s="2" t="inlineStr">
        <is>
          <t>2026-08-19</t>
        </is>
      </c>
      <c r="C15" s="2" t="inlineStr">
        <is>
          <t>04:30</t>
        </is>
      </c>
      <c r="D15" s="2" t="inlineStr">
        <is>
          <t>Emperor Cup</t>
        </is>
      </c>
      <c r="E15" s="2" t="inlineStr">
        <is>
          <t>FC Tokushima vs Kawasoe Club</t>
        </is>
      </c>
      <c r="F15" s="2" t="inlineStr">
        <is>
          <t>PENDIENTE</t>
        </is>
      </c>
      <c r="G15" s="2" t="inlineStr">
        <is>
          <t>SELECCIONAR MERCADO</t>
        </is>
      </c>
      <c r="H15" s="6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2" t="n"/>
      <c r="S15" s="7" t="n"/>
      <c r="T15" s="7">
        <f>IFERROR(1/H15,"")</f>
        <v/>
      </c>
      <c r="U15" s="7">
        <f>IF(OR(S15="",T15=""),"",S15-T15)</f>
        <v/>
      </c>
      <c r="V15" s="7">
        <f>IF(OR(S15="",H15=""),"",S15*H15-1)</f>
        <v/>
      </c>
      <c r="W15" s="2">
        <f>IF(E15="","",ROUND(100*(0.22*I15+0.18*J15+0.18*K15+0.10*L15+0.08*M15+0.06*N15+0.06*O15+0.04*P15+0.04*Q15+0.04*MIN(R15/10,1)),0))</f>
        <v/>
      </c>
      <c r="X15" s="2">
        <f>IF(W15="","",IF(W15&gt;=CONFIG!$B$11,"FUERTE",IF(W15&gt;=CONFIG!$B$12,"MEDIA","BAJA")))</f>
        <v/>
      </c>
      <c r="Y15" s="2">
        <f>IF(OR(H15="",S15=""),"",IF(OR(H15&lt;CONFIG!$B$2,H15&gt;CONFIG!$B$3),"NO APTO",IF(S15&lt;IF(H15&lt;1.6,CONFIG!$B$4,IF(H15&lt;1.7,CONFIG!$B$5,IF(H15&lt;1.8,CONFIG!$B$6,IF(H15&lt;2,CONFIG!$B$7,IF(H15&lt;2.2,CONFIG!$B$8,CONFIG!$B$9))))),"NO APTO",IF(V15&lt;CONFIG!$B$10,"NO APTO",IF(AND(W15&gt;=CONFIG!$B$11,R15&gt;=CONFIG!$B$13),"ALERTA FUERTE",IF(AND(W15&gt;=CONFIG!$B$12,R15&gt;=CONFIG!$B$13),"ALERTA MEDIA","NO APTO"))))))</f>
        <v/>
      </c>
      <c r="Z15" s="2">
        <f>IF(Y15="","",IF(Y15="NO APTO","Revisar cuota/probabilidad/EV/puntuación/muestra",IF(Y15="ALERTA FUERTE","Cumple filtros de cuota + probabilidad + EV + confianza + muestra","Cumple filtros, pero confianza inferior a FUERTE")))</f>
        <v/>
      </c>
    </row>
    <row r="16">
      <c r="A16" s="2">
        <f>IF(E16="","",ROW()-1)</f>
        <v/>
      </c>
      <c r="B16" s="2" t="inlineStr">
        <is>
          <t>2026-08-19</t>
        </is>
      </c>
      <c r="C16" s="2" t="inlineStr">
        <is>
          <t>04:30</t>
        </is>
      </c>
      <c r="D16" s="2" t="inlineStr">
        <is>
          <t>Emperor Cup</t>
        </is>
      </c>
      <c r="E16" s="2" t="inlineStr">
        <is>
          <t>FC Gifu vs Toyama Shinjo</t>
        </is>
      </c>
      <c r="F16" s="2" t="inlineStr">
        <is>
          <t>PENDIENTE</t>
        </is>
      </c>
      <c r="G16" s="2" t="inlineStr">
        <is>
          <t>SELECCIONAR MERCADO</t>
        </is>
      </c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2" t="n"/>
      <c r="S16" s="7" t="n"/>
      <c r="T16" s="7">
        <f>IFERROR(1/H16,"")</f>
        <v/>
      </c>
      <c r="U16" s="7">
        <f>IF(OR(S16="",T16=""),"",S16-T16)</f>
        <v/>
      </c>
      <c r="V16" s="7">
        <f>IF(OR(S16="",H16=""),"",S16*H16-1)</f>
        <v/>
      </c>
      <c r="W16" s="2">
        <f>IF(E16="","",ROUND(100*(0.22*I16+0.18*J16+0.18*K16+0.10*L16+0.08*M16+0.06*N16+0.06*O16+0.04*P16+0.04*Q16+0.04*MIN(R16/10,1)),0))</f>
        <v/>
      </c>
      <c r="X16" s="2">
        <f>IF(W16="","",IF(W16&gt;=CONFIG!$B$11,"FUERTE",IF(W16&gt;=CONFIG!$B$12,"MEDIA","BAJA")))</f>
        <v/>
      </c>
      <c r="Y16" s="2">
        <f>IF(OR(H16="",S16=""),"",IF(OR(H16&lt;CONFIG!$B$2,H16&gt;CONFIG!$B$3),"NO APTO",IF(S16&lt;IF(H16&lt;1.6,CONFIG!$B$4,IF(H16&lt;1.7,CONFIG!$B$5,IF(H16&lt;1.8,CONFIG!$B$6,IF(H16&lt;2,CONFIG!$B$7,IF(H16&lt;2.2,CONFIG!$B$8,CONFIG!$B$9))))),"NO APTO",IF(V16&lt;CONFIG!$B$10,"NO APTO",IF(AND(W16&gt;=CONFIG!$B$11,R16&gt;=CONFIG!$B$13),"ALERTA FUERTE",IF(AND(W16&gt;=CONFIG!$B$12,R16&gt;=CONFIG!$B$13),"ALERTA MEDIA","NO APTO"))))))</f>
        <v/>
      </c>
      <c r="Z16" s="2">
        <f>IF(Y16="","",IF(Y16="NO APTO","Revisar cuota/probabilidad/EV/puntuación/muestra",IF(Y16="ALERTA FUERTE","Cumple filtros de cuota + probabilidad + EV + confianza + muestra","Cumple filtros, pero confianza inferior a FUERTE")))</f>
        <v/>
      </c>
    </row>
    <row r="17">
      <c r="A17" s="2">
        <f>IF(E17="","",ROW()-1)</f>
        <v/>
      </c>
      <c r="B17" s="2" t="inlineStr">
        <is>
          <t>2026-08-19</t>
        </is>
      </c>
      <c r="C17" s="2" t="inlineStr">
        <is>
          <t>04:30</t>
        </is>
      </c>
      <c r="D17" s="2" t="inlineStr">
        <is>
          <t>Emperor Cup</t>
        </is>
      </c>
      <c r="E17" s="2" t="inlineStr">
        <is>
          <t>Grulla Morioka vs Sapporo University</t>
        </is>
      </c>
      <c r="F17" s="2" t="inlineStr">
        <is>
          <t>PENDIENTE</t>
        </is>
      </c>
      <c r="G17" s="2" t="inlineStr">
        <is>
          <t>SELECCIONAR MERCADO</t>
        </is>
      </c>
      <c r="H17" s="6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2" t="n"/>
      <c r="S17" s="7" t="n"/>
      <c r="T17" s="7">
        <f>IFERROR(1/H17,"")</f>
        <v/>
      </c>
      <c r="U17" s="7">
        <f>IF(OR(S17="",T17=""),"",S17-T17)</f>
        <v/>
      </c>
      <c r="V17" s="7">
        <f>IF(OR(S17="",H17=""),"",S17*H17-1)</f>
        <v/>
      </c>
      <c r="W17" s="2">
        <f>IF(E17="","",ROUND(100*(0.22*I17+0.18*J17+0.18*K17+0.10*L17+0.08*M17+0.06*N17+0.06*O17+0.04*P17+0.04*Q17+0.04*MIN(R17/10,1)),0))</f>
        <v/>
      </c>
      <c r="X17" s="2">
        <f>IF(W17="","",IF(W17&gt;=CONFIG!$B$11,"FUERTE",IF(W17&gt;=CONFIG!$B$12,"MEDIA","BAJA")))</f>
        <v/>
      </c>
      <c r="Y17" s="2">
        <f>IF(OR(H17="",S17=""),"",IF(OR(H17&lt;CONFIG!$B$2,H17&gt;CONFIG!$B$3),"NO APTO",IF(S17&lt;IF(H17&lt;1.6,CONFIG!$B$4,IF(H17&lt;1.7,CONFIG!$B$5,IF(H17&lt;1.8,CONFIG!$B$6,IF(H17&lt;2,CONFIG!$B$7,IF(H17&lt;2.2,CONFIG!$B$8,CONFIG!$B$9))))),"NO APTO",IF(V17&lt;CONFIG!$B$10,"NO APTO",IF(AND(W17&gt;=CONFIG!$B$11,R17&gt;=CONFIG!$B$13),"ALERTA FUERTE",IF(AND(W17&gt;=CONFIG!$B$12,R17&gt;=CONFIG!$B$13),"ALERTA MEDIA","NO APTO"))))))</f>
        <v/>
      </c>
      <c r="Z17" s="2">
        <f>IF(Y17="","",IF(Y17="NO APTO","Revisar cuota/probabilidad/EV/puntuación/muestra",IF(Y17="ALERTA FUERTE","Cumple filtros de cuota + probabilidad + EV + confianza + muestra","Cumple filtros, pero confianza inferior a FUERTE")))</f>
        <v/>
      </c>
    </row>
    <row r="18">
      <c r="A18" s="2">
        <f>IF(E18="","",ROW()-1)</f>
        <v/>
      </c>
      <c r="B18" s="2" t="inlineStr">
        <is>
          <t>2026-08-19</t>
        </is>
      </c>
      <c r="C18" s="2" t="inlineStr">
        <is>
          <t>04:30</t>
        </is>
      </c>
      <c r="D18" s="2" t="inlineStr">
        <is>
          <t>Emperor Cup</t>
        </is>
      </c>
      <c r="E18" s="2" t="inlineStr">
        <is>
          <t>SRC Hiroshima vs Maruyasu Okazaki</t>
        </is>
      </c>
      <c r="F18" s="2" t="inlineStr">
        <is>
          <t>PENDIENTE</t>
        </is>
      </c>
      <c r="G18" s="2" t="inlineStr">
        <is>
          <t>SELECCIONAR MERCADO</t>
        </is>
      </c>
      <c r="H18" s="6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2" t="n"/>
      <c r="S18" s="7" t="n"/>
      <c r="T18" s="7">
        <f>IFERROR(1/H18,"")</f>
        <v/>
      </c>
      <c r="U18" s="7">
        <f>IF(OR(S18="",T18=""),"",S18-T18)</f>
        <v/>
      </c>
      <c r="V18" s="7">
        <f>IF(OR(S18="",H18=""),"",S18*H18-1)</f>
        <v/>
      </c>
      <c r="W18" s="2">
        <f>IF(E18="","",ROUND(100*(0.22*I18+0.18*J18+0.18*K18+0.10*L18+0.08*M18+0.06*N18+0.06*O18+0.04*P18+0.04*Q18+0.04*MIN(R18/10,1)),0))</f>
        <v/>
      </c>
      <c r="X18" s="2">
        <f>IF(W18="","",IF(W18&gt;=CONFIG!$B$11,"FUERTE",IF(W18&gt;=CONFIG!$B$12,"MEDIA","BAJA")))</f>
        <v/>
      </c>
      <c r="Y18" s="2">
        <f>IF(OR(H18="",S18=""),"",IF(OR(H18&lt;CONFIG!$B$2,H18&gt;CONFIG!$B$3),"NO APTO",IF(S18&lt;IF(H18&lt;1.6,CONFIG!$B$4,IF(H18&lt;1.7,CONFIG!$B$5,IF(H18&lt;1.8,CONFIG!$B$6,IF(H18&lt;2,CONFIG!$B$7,IF(H18&lt;2.2,CONFIG!$B$8,CONFIG!$B$9))))),"NO APTO",IF(V18&lt;CONFIG!$B$10,"NO APTO",IF(AND(W18&gt;=CONFIG!$B$11,R18&gt;=CONFIG!$B$13),"ALERTA FUERTE",IF(AND(W18&gt;=CONFIG!$B$12,R18&gt;=CONFIG!$B$13),"ALERTA MEDIA","NO APTO"))))))</f>
        <v/>
      </c>
      <c r="Z18" s="2">
        <f>IF(Y18="","",IF(Y18="NO APTO","Revisar cuota/probabilidad/EV/puntuación/muestra",IF(Y18="ALERTA FUERTE","Cumple filtros de cuota + probabilidad + EV + confianza + muestra","Cumple filtros, pero confianza inferior a FUERTE")))</f>
        <v/>
      </c>
    </row>
    <row r="19">
      <c r="A19" s="2">
        <f>IF(E19="","",ROW()-1)</f>
        <v/>
      </c>
      <c r="B19" s="2" t="inlineStr">
        <is>
          <t>2026-08-19</t>
        </is>
      </c>
      <c r="C19" s="2" t="inlineStr">
        <is>
          <t>04:30</t>
        </is>
      </c>
      <c r="D19" s="2" t="inlineStr">
        <is>
          <t>Australia Cup</t>
        </is>
      </c>
      <c r="E19" s="2" t="inlineStr">
        <is>
          <t>APIA Leichhardt Tigers vs Melbourne Victory</t>
        </is>
      </c>
      <c r="F19" s="2" t="inlineStr">
        <is>
          <t>PENDIENTE</t>
        </is>
      </c>
      <c r="G19" s="2" t="inlineStr">
        <is>
          <t>SELECCIONAR MERCADO</t>
        </is>
      </c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2" t="n"/>
      <c r="S19" s="7" t="n"/>
      <c r="T19" s="7">
        <f>IFERROR(1/H19,"")</f>
        <v/>
      </c>
      <c r="U19" s="7">
        <f>IF(OR(S19="",T19=""),"",S19-T19)</f>
        <v/>
      </c>
      <c r="V19" s="7">
        <f>IF(OR(S19="",H19=""),"",S19*H19-1)</f>
        <v/>
      </c>
      <c r="W19" s="2">
        <f>IF(E19="","",ROUND(100*(0.22*I19+0.18*J19+0.18*K19+0.10*L19+0.08*M19+0.06*N19+0.06*O19+0.04*P19+0.04*Q19+0.04*MIN(R19/10,1)),0))</f>
        <v/>
      </c>
      <c r="X19" s="2">
        <f>IF(W19="","",IF(W19&gt;=CONFIG!$B$11,"FUERTE",IF(W19&gt;=CONFIG!$B$12,"MEDIA","BAJA")))</f>
        <v/>
      </c>
      <c r="Y19" s="2">
        <f>IF(OR(H19="",S19=""),"",IF(OR(H19&lt;CONFIG!$B$2,H19&gt;CONFIG!$B$3),"NO APTO",IF(S19&lt;IF(H19&lt;1.6,CONFIG!$B$4,IF(H19&lt;1.7,CONFIG!$B$5,IF(H19&lt;1.8,CONFIG!$B$6,IF(H19&lt;2,CONFIG!$B$7,IF(H19&lt;2.2,CONFIG!$B$8,CONFIG!$B$9))))),"NO APTO",IF(V19&lt;CONFIG!$B$10,"NO APTO",IF(AND(W19&gt;=CONFIG!$B$11,R19&gt;=CONFIG!$B$13),"ALERTA FUERTE",IF(AND(W19&gt;=CONFIG!$B$12,R19&gt;=CONFIG!$B$13),"ALERTA MEDIA","NO APTO"))))))</f>
        <v/>
      </c>
      <c r="Z19" s="2">
        <f>IF(Y19="","",IF(Y19="NO APTO","Revisar cuota/probabilidad/EV/puntuación/muestra",IF(Y19="ALERTA FUERTE","Cumple filtros de cuota + probabilidad + EV + confianza + muestra","Cumple filtros, pero confianza inferior a FUERTE")))</f>
        <v/>
      </c>
    </row>
    <row r="20">
      <c r="A20" s="2">
        <f>IF(E20="","",ROW()-1)</f>
        <v/>
      </c>
      <c r="B20" s="2" t="inlineStr">
        <is>
          <t>2026-08-19</t>
        </is>
      </c>
      <c r="C20" s="2" t="inlineStr">
        <is>
          <t>04:30</t>
        </is>
      </c>
      <c r="D20" s="2" t="inlineStr">
        <is>
          <t>Calcutta Premier Division</t>
        </is>
      </c>
      <c r="E20" s="2" t="inlineStr">
        <is>
          <t>Bhawanipore vs BSS Sporting</t>
        </is>
      </c>
      <c r="F20" s="2" t="inlineStr">
        <is>
          <t>PENDIENTE</t>
        </is>
      </c>
      <c r="G20" s="2" t="inlineStr">
        <is>
          <t>SELECCIONAR MERCADO</t>
        </is>
      </c>
      <c r="H20" s="6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2" t="n"/>
      <c r="S20" s="7" t="n"/>
      <c r="T20" s="7">
        <f>IFERROR(1/H20,"")</f>
        <v/>
      </c>
      <c r="U20" s="7">
        <f>IF(OR(S20="",T20=""),"",S20-T20)</f>
        <v/>
      </c>
      <c r="V20" s="7">
        <f>IF(OR(S20="",H20=""),"",S20*H20-1)</f>
        <v/>
      </c>
      <c r="W20" s="2">
        <f>IF(E20="","",ROUND(100*(0.22*I20+0.18*J20+0.18*K20+0.10*L20+0.08*M20+0.06*N20+0.06*O20+0.04*P20+0.04*Q20+0.04*MIN(R20/10,1)),0))</f>
        <v/>
      </c>
      <c r="X20" s="2">
        <f>IF(W20="","",IF(W20&gt;=CONFIG!$B$11,"FUERTE",IF(W20&gt;=CONFIG!$B$12,"MEDIA","BAJA")))</f>
        <v/>
      </c>
      <c r="Y20" s="2">
        <f>IF(OR(H20="",S20=""),"",IF(OR(H20&lt;CONFIG!$B$2,H20&gt;CONFIG!$B$3),"NO APTO",IF(S20&lt;IF(H20&lt;1.6,CONFIG!$B$4,IF(H20&lt;1.7,CONFIG!$B$5,IF(H20&lt;1.8,CONFIG!$B$6,IF(H20&lt;2,CONFIG!$B$7,IF(H20&lt;2.2,CONFIG!$B$8,CONFIG!$B$9))))),"NO APTO",IF(V20&lt;CONFIG!$B$10,"NO APTO",IF(AND(W20&gt;=CONFIG!$B$11,R20&gt;=CONFIG!$B$13),"ALERTA FUERTE",IF(AND(W20&gt;=CONFIG!$B$12,R20&gt;=CONFIG!$B$13),"ALERTA MEDIA","NO APTO"))))))</f>
        <v/>
      </c>
      <c r="Z20" s="2">
        <f>IF(Y20="","",IF(Y20="NO APTO","Revisar cuota/probabilidad/EV/puntuación/muestra",IF(Y20="ALERTA FUERTE","Cumple filtros de cuota + probabilidad + EV + confianza + muestra","Cumple filtros, pero confianza inferior a FUERTE")))</f>
        <v/>
      </c>
    </row>
    <row r="21">
      <c r="A21" s="2">
        <f>IF(E21="","",ROW()-1)</f>
        <v/>
      </c>
      <c r="B21" s="2" t="inlineStr">
        <is>
          <t>2026-08-19</t>
        </is>
      </c>
      <c r="C21" s="2" t="inlineStr">
        <is>
          <t>04:30</t>
        </is>
      </c>
      <c r="D21" s="2" t="inlineStr">
        <is>
          <t>Calcutta Premier Division</t>
        </is>
      </c>
      <c r="E21" s="2" t="inlineStr">
        <is>
          <t>George Telegraph vs Kalighat</t>
        </is>
      </c>
      <c r="F21" s="2" t="inlineStr">
        <is>
          <t>PENDIENTE</t>
        </is>
      </c>
      <c r="G21" s="2" t="inlineStr">
        <is>
          <t>SELECCIONAR MERCADO</t>
        </is>
      </c>
      <c r="H21" s="6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2" t="n"/>
      <c r="S21" s="7" t="n"/>
      <c r="T21" s="7">
        <f>IFERROR(1/H21,"")</f>
        <v/>
      </c>
      <c r="U21" s="7">
        <f>IF(OR(S21="",T21=""),"",S21-T21)</f>
        <v/>
      </c>
      <c r="V21" s="7">
        <f>IF(OR(S21="",H21=""),"",S21*H21-1)</f>
        <v/>
      </c>
      <c r="W21" s="2">
        <f>IF(E21="","",ROUND(100*(0.22*I21+0.18*J21+0.18*K21+0.10*L21+0.08*M21+0.06*N21+0.06*O21+0.04*P21+0.04*Q21+0.04*MIN(R21/10,1)),0))</f>
        <v/>
      </c>
      <c r="X21" s="2">
        <f>IF(W21="","",IF(W21&gt;=CONFIG!$B$11,"FUERTE",IF(W21&gt;=CONFIG!$B$12,"MEDIA","BAJA")))</f>
        <v/>
      </c>
      <c r="Y21" s="2">
        <f>IF(OR(H21="",S21=""),"",IF(OR(H21&lt;CONFIG!$B$2,H21&gt;CONFIG!$B$3),"NO APTO",IF(S21&lt;IF(H21&lt;1.6,CONFIG!$B$4,IF(H21&lt;1.7,CONFIG!$B$5,IF(H21&lt;1.8,CONFIG!$B$6,IF(H21&lt;2,CONFIG!$B$7,IF(H21&lt;2.2,CONFIG!$B$8,CONFIG!$B$9))))),"NO APTO",IF(V21&lt;CONFIG!$B$10,"NO APTO",IF(AND(W21&gt;=CONFIG!$B$11,R21&gt;=CONFIG!$B$13),"ALERTA FUERTE",IF(AND(W21&gt;=CONFIG!$B$12,R21&gt;=CONFIG!$B$13),"ALERTA MEDIA","NO APTO"))))))</f>
        <v/>
      </c>
      <c r="Z21" s="2">
        <f>IF(Y21="","",IF(Y21="NO APTO","Revisar cuota/probabilidad/EV/puntuación/muestra",IF(Y21="ALERTA FUERTE","Cumple filtros de cuota + probabilidad + EV + confianza + muestra","Cumple filtros, pero confianza inferior a FUERTE")))</f>
        <v/>
      </c>
    </row>
    <row r="22">
      <c r="A22" s="2">
        <f>IF(E22="","",ROW()-1)</f>
        <v/>
      </c>
      <c r="B22" s="2" t="inlineStr">
        <is>
          <t>2026-08-19</t>
        </is>
      </c>
      <c r="C22" s="2" t="inlineStr">
        <is>
          <t>05:00</t>
        </is>
      </c>
      <c r="D22" s="2" t="inlineStr">
        <is>
          <t>III Liga - Group 2</t>
        </is>
      </c>
      <c r="E22" s="2" t="inlineStr">
        <is>
          <t>Lech Poznań II vs Lipno Stęszew</t>
        </is>
      </c>
      <c r="F22" s="2" t="inlineStr">
        <is>
          <t>PENDIENTE</t>
        </is>
      </c>
      <c r="G22" s="2" t="inlineStr">
        <is>
          <t>SELECCIONAR MERCADO</t>
        </is>
      </c>
      <c r="H22" s="6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2" t="n"/>
      <c r="S22" s="7" t="n"/>
      <c r="T22" s="7">
        <f>IFERROR(1/H22,"")</f>
        <v/>
      </c>
      <c r="U22" s="7">
        <f>IF(OR(S22="",T22=""),"",S22-T22)</f>
        <v/>
      </c>
      <c r="V22" s="7">
        <f>IF(OR(S22="",H22=""),"",S22*H22-1)</f>
        <v/>
      </c>
      <c r="W22" s="2">
        <f>IF(E22="","",ROUND(100*(0.22*I22+0.18*J22+0.18*K22+0.10*L22+0.08*M22+0.06*N22+0.06*O22+0.04*P22+0.04*Q22+0.04*MIN(R22/10,1)),0))</f>
        <v/>
      </c>
      <c r="X22" s="2">
        <f>IF(W22="","",IF(W22&gt;=CONFIG!$B$11,"FUERTE",IF(W22&gt;=CONFIG!$B$12,"MEDIA","BAJA")))</f>
        <v/>
      </c>
      <c r="Y22" s="2">
        <f>IF(OR(H22="",S22=""),"",IF(OR(H22&lt;CONFIG!$B$2,H22&gt;CONFIG!$B$3),"NO APTO",IF(S22&lt;IF(H22&lt;1.6,CONFIG!$B$4,IF(H22&lt;1.7,CONFIG!$B$5,IF(H22&lt;1.8,CONFIG!$B$6,IF(H22&lt;2,CONFIG!$B$7,IF(H22&lt;2.2,CONFIG!$B$8,CONFIG!$B$9))))),"NO APTO",IF(V22&lt;CONFIG!$B$10,"NO APTO",IF(AND(W22&gt;=CONFIG!$B$11,R22&gt;=CONFIG!$B$13),"ALERTA FUERTE",IF(AND(W22&gt;=CONFIG!$B$12,R22&gt;=CONFIG!$B$13),"ALERTA MEDIA","NO APTO"))))))</f>
        <v/>
      </c>
      <c r="Z22" s="2">
        <f>IF(Y22="","",IF(Y22="NO APTO","Revisar cuota/probabilidad/EV/puntuación/muestra",IF(Y22="ALERTA FUERTE","Cumple filtros de cuota + probabilidad + EV + confianza + muestra","Cumple filtros, pero confianza inferior a FUERTE")))</f>
        <v/>
      </c>
    </row>
    <row r="23">
      <c r="A23" s="2">
        <f>IF(E23="","",ROW()-1)</f>
        <v/>
      </c>
      <c r="B23" s="2" t="inlineStr">
        <is>
          <t>2026-08-19</t>
        </is>
      </c>
      <c r="C23" s="2" t="inlineStr">
        <is>
          <t>05:00</t>
        </is>
      </c>
      <c r="D23" s="2" t="inlineStr">
        <is>
          <t>FA Cup</t>
        </is>
      </c>
      <c r="E23" s="2" t="inlineStr">
        <is>
          <t>Asan Mugunghwa vs Daejeon Citizen</t>
        </is>
      </c>
      <c r="F23" s="2" t="inlineStr">
        <is>
          <t>PENDIENTE</t>
        </is>
      </c>
      <c r="G23" s="2" t="inlineStr">
        <is>
          <t>SELECCIONAR MERCADO</t>
        </is>
      </c>
      <c r="H23" s="6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2" t="n"/>
      <c r="S23" s="7" t="n"/>
      <c r="T23" s="7">
        <f>IFERROR(1/H23,"")</f>
        <v/>
      </c>
      <c r="U23" s="7">
        <f>IF(OR(S23="",T23=""),"",S23-T23)</f>
        <v/>
      </c>
      <c r="V23" s="7">
        <f>IF(OR(S23="",H23=""),"",S23*H23-1)</f>
        <v/>
      </c>
      <c r="W23" s="2">
        <f>IF(E23="","",ROUND(100*(0.22*I23+0.18*J23+0.18*K23+0.10*L23+0.08*M23+0.06*N23+0.06*O23+0.04*P23+0.04*Q23+0.04*MIN(R23/10,1)),0))</f>
        <v/>
      </c>
      <c r="X23" s="2">
        <f>IF(W23="","",IF(W23&gt;=CONFIG!$B$11,"FUERTE",IF(W23&gt;=CONFIG!$B$12,"MEDIA","BAJA")))</f>
        <v/>
      </c>
      <c r="Y23" s="2">
        <f>IF(OR(H23="",S23=""),"",IF(OR(H23&lt;CONFIG!$B$2,H23&gt;CONFIG!$B$3),"NO APTO",IF(S23&lt;IF(H23&lt;1.6,CONFIG!$B$4,IF(H23&lt;1.7,CONFIG!$B$5,IF(H23&lt;1.8,CONFIG!$B$6,IF(H23&lt;2,CONFIG!$B$7,IF(H23&lt;2.2,CONFIG!$B$8,CONFIG!$B$9))))),"NO APTO",IF(V23&lt;CONFIG!$B$10,"NO APTO",IF(AND(W23&gt;=CONFIG!$B$11,R23&gt;=CONFIG!$B$13),"ALERTA FUERTE",IF(AND(W23&gt;=CONFIG!$B$12,R23&gt;=CONFIG!$B$13),"ALERTA MEDIA","NO APTO"))))))</f>
        <v/>
      </c>
      <c r="Z23" s="2">
        <f>IF(Y23="","",IF(Y23="NO APTO","Revisar cuota/probabilidad/EV/puntuación/muestra",IF(Y23="ALERTA FUERTE","Cumple filtros de cuota + probabilidad + EV + confianza + muestra","Cumple filtros, pero confianza inferior a FUERTE")))</f>
        <v/>
      </c>
    </row>
    <row r="24">
      <c r="A24" s="2">
        <f>IF(E24="","",ROW()-1)</f>
        <v/>
      </c>
      <c r="B24" s="2" t="inlineStr">
        <is>
          <t>2026-08-19</t>
        </is>
      </c>
      <c r="C24" s="2" t="inlineStr">
        <is>
          <t>05:00</t>
        </is>
      </c>
      <c r="D24" s="2" t="inlineStr">
        <is>
          <t>FA Cup</t>
        </is>
      </c>
      <c r="E24" s="2" t="inlineStr">
        <is>
          <t>Jeonbuk Motors vs Dangjin Citizen</t>
        </is>
      </c>
      <c r="F24" s="2" t="inlineStr">
        <is>
          <t>PENDIENTE</t>
        </is>
      </c>
      <c r="G24" s="2" t="inlineStr">
        <is>
          <t>SELECCIONAR MERCADO</t>
        </is>
      </c>
      <c r="H24" s="6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2" t="n"/>
      <c r="S24" s="7" t="n"/>
      <c r="T24" s="7">
        <f>IFERROR(1/H24,"")</f>
        <v/>
      </c>
      <c r="U24" s="7">
        <f>IF(OR(S24="",T24=""),"",S24-T24)</f>
        <v/>
      </c>
      <c r="V24" s="7">
        <f>IF(OR(S24="",H24=""),"",S24*H24-1)</f>
        <v/>
      </c>
      <c r="W24" s="2">
        <f>IF(E24="","",ROUND(100*(0.22*I24+0.18*J24+0.18*K24+0.10*L24+0.08*M24+0.06*N24+0.06*O24+0.04*P24+0.04*Q24+0.04*MIN(R24/10,1)),0))</f>
        <v/>
      </c>
      <c r="X24" s="2">
        <f>IF(W24="","",IF(W24&gt;=CONFIG!$B$11,"FUERTE",IF(W24&gt;=CONFIG!$B$12,"MEDIA","BAJA")))</f>
        <v/>
      </c>
      <c r="Y24" s="2">
        <f>IF(OR(H24="",S24=""),"",IF(OR(H24&lt;CONFIG!$B$2,H24&gt;CONFIG!$B$3),"NO APTO",IF(S24&lt;IF(H24&lt;1.6,CONFIG!$B$4,IF(H24&lt;1.7,CONFIG!$B$5,IF(H24&lt;1.8,CONFIG!$B$6,IF(H24&lt;2,CONFIG!$B$7,IF(H24&lt;2.2,CONFIG!$B$8,CONFIG!$B$9))))),"NO APTO",IF(V24&lt;CONFIG!$B$10,"NO APTO",IF(AND(W24&gt;=CONFIG!$B$11,R24&gt;=CONFIG!$B$13),"ALERTA FUERTE",IF(AND(W24&gt;=CONFIG!$B$12,R24&gt;=CONFIG!$B$13),"ALERTA MEDIA","NO APTO"))))))</f>
        <v/>
      </c>
      <c r="Z24" s="2">
        <f>IF(Y24="","",IF(Y24="NO APTO","Revisar cuota/probabilidad/EV/puntuación/muestra",IF(Y24="ALERTA FUERTE","Cumple filtros de cuota + probabilidad + EV + confianza + muestra","Cumple filtros, pero confianza inferior a FUERTE")))</f>
        <v/>
      </c>
    </row>
    <row r="25">
      <c r="A25" s="2">
        <f>IF(E25="","",ROW()-1)</f>
        <v/>
      </c>
      <c r="B25" s="2" t="inlineStr">
        <is>
          <t>2026-08-19</t>
        </is>
      </c>
      <c r="C25" s="2" t="inlineStr">
        <is>
          <t>05:00</t>
        </is>
      </c>
      <c r="D25" s="2" t="inlineStr">
        <is>
          <t>FA Cup</t>
        </is>
      </c>
      <c r="E25" s="2" t="inlineStr">
        <is>
          <t>Gimpo Citizen vs Gimcheon Sangmu FC</t>
        </is>
      </c>
      <c r="F25" s="2" t="inlineStr">
        <is>
          <t>PENDIENTE</t>
        </is>
      </c>
      <c r="G25" s="2" t="inlineStr">
        <is>
          <t>SELECCIONAR MERCADO</t>
        </is>
      </c>
      <c r="H25" s="6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2" t="n"/>
      <c r="S25" s="7" t="n"/>
      <c r="T25" s="7">
        <f>IFERROR(1/H25,"")</f>
        <v/>
      </c>
      <c r="U25" s="7">
        <f>IF(OR(S25="",T25=""),"",S25-T25)</f>
        <v/>
      </c>
      <c r="V25" s="7">
        <f>IF(OR(S25="",H25=""),"",S25*H25-1)</f>
        <v/>
      </c>
      <c r="W25" s="2">
        <f>IF(E25="","",ROUND(100*(0.22*I25+0.18*J25+0.18*K25+0.10*L25+0.08*M25+0.06*N25+0.06*O25+0.04*P25+0.04*Q25+0.04*MIN(R25/10,1)),0))</f>
        <v/>
      </c>
      <c r="X25" s="2">
        <f>IF(W25="","",IF(W25&gt;=CONFIG!$B$11,"FUERTE",IF(W25&gt;=CONFIG!$B$12,"MEDIA","BAJA")))</f>
        <v/>
      </c>
      <c r="Y25" s="2">
        <f>IF(OR(H25="",S25=""),"",IF(OR(H25&lt;CONFIG!$B$2,H25&gt;CONFIG!$B$3),"NO APTO",IF(S25&lt;IF(H25&lt;1.6,CONFIG!$B$4,IF(H25&lt;1.7,CONFIG!$B$5,IF(H25&lt;1.8,CONFIG!$B$6,IF(H25&lt;2,CONFIG!$B$7,IF(H25&lt;2.2,CONFIG!$B$8,CONFIG!$B$9))))),"NO APTO",IF(V25&lt;CONFIG!$B$10,"NO APTO",IF(AND(W25&gt;=CONFIG!$B$11,R25&gt;=CONFIG!$B$13),"ALERTA FUERTE",IF(AND(W25&gt;=CONFIG!$B$12,R25&gt;=CONFIG!$B$13),"ALERTA MEDIA","NO APTO"))))))</f>
        <v/>
      </c>
      <c r="Z25" s="2">
        <f>IF(Y25="","",IF(Y25="NO APTO","Revisar cuota/probabilidad/EV/puntuación/muestra",IF(Y25="ALERTA FUERTE","Cumple filtros de cuota + probabilidad + EV + confianza + muestra","Cumple filtros, pero confianza inferior a FUERTE")))</f>
        <v/>
      </c>
    </row>
    <row r="26">
      <c r="A26" s="2">
        <f>IF(E26="","",ROW()-1)</f>
        <v/>
      </c>
      <c r="B26" s="2" t="inlineStr">
        <is>
          <t>2026-08-19</t>
        </is>
      </c>
      <c r="C26" s="2" t="inlineStr">
        <is>
          <t>05:00</t>
        </is>
      </c>
      <c r="D26" s="2" t="inlineStr">
        <is>
          <t>FA Cup</t>
        </is>
      </c>
      <c r="E26" s="2" t="inlineStr">
        <is>
          <t>Pohang Steelers vs Jinju Citizen</t>
        </is>
      </c>
      <c r="F26" s="2" t="inlineStr">
        <is>
          <t>PENDIENTE</t>
        </is>
      </c>
      <c r="G26" s="2" t="inlineStr">
        <is>
          <t>SELECCIONAR MERCADO</t>
        </is>
      </c>
      <c r="H26" s="6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2" t="n"/>
      <c r="S26" s="7" t="n"/>
      <c r="T26" s="7">
        <f>IFERROR(1/H26,"")</f>
        <v/>
      </c>
      <c r="U26" s="7">
        <f>IF(OR(S26="",T26=""),"",S26-T26)</f>
        <v/>
      </c>
      <c r="V26" s="7">
        <f>IF(OR(S26="",H26=""),"",S26*H26-1)</f>
        <v/>
      </c>
      <c r="W26" s="2">
        <f>IF(E26="","",ROUND(100*(0.22*I26+0.18*J26+0.18*K26+0.10*L26+0.08*M26+0.06*N26+0.06*O26+0.04*P26+0.04*Q26+0.04*MIN(R26/10,1)),0))</f>
        <v/>
      </c>
      <c r="X26" s="2">
        <f>IF(W26="","",IF(W26&gt;=CONFIG!$B$11,"FUERTE",IF(W26&gt;=CONFIG!$B$12,"MEDIA","BAJA")))</f>
        <v/>
      </c>
      <c r="Y26" s="2">
        <f>IF(OR(H26="",S26=""),"",IF(OR(H26&lt;CONFIG!$B$2,H26&gt;CONFIG!$B$3),"NO APTO",IF(S26&lt;IF(H26&lt;1.6,CONFIG!$B$4,IF(H26&lt;1.7,CONFIG!$B$5,IF(H26&lt;1.8,CONFIG!$B$6,IF(H26&lt;2,CONFIG!$B$7,IF(H26&lt;2.2,CONFIG!$B$8,CONFIG!$B$9))))),"NO APTO",IF(V26&lt;CONFIG!$B$10,"NO APTO",IF(AND(W26&gt;=CONFIG!$B$11,R26&gt;=CONFIG!$B$13),"ALERTA FUERTE",IF(AND(W26&gt;=CONFIG!$B$12,R26&gt;=CONFIG!$B$13),"ALERTA MEDIA","NO APTO"))))))</f>
        <v/>
      </c>
      <c r="Z26" s="2">
        <f>IF(Y26="","",IF(Y26="NO APTO","Revisar cuota/probabilidad/EV/puntuación/muestra",IF(Y26="ALERTA FUERTE","Cumple filtros de cuota + probabilidad + EV + confianza + muestra","Cumple filtros, pero confianza inferior a FUERTE")))</f>
        <v/>
      </c>
    </row>
    <row r="27">
      <c r="A27" s="2">
        <f>IF(E27="","",ROW()-1)</f>
        <v/>
      </c>
      <c r="B27" s="2" t="inlineStr">
        <is>
          <t>2026-08-19</t>
        </is>
      </c>
      <c r="C27" s="2" t="inlineStr">
        <is>
          <t>05:00</t>
        </is>
      </c>
      <c r="D27" s="2" t="inlineStr">
        <is>
          <t>FA Cup</t>
        </is>
      </c>
      <c r="E27" s="2" t="inlineStr">
        <is>
          <t>Ulsan Citizen vs Gwangju FC</t>
        </is>
      </c>
      <c r="F27" s="2" t="inlineStr">
        <is>
          <t>PENDIENTE</t>
        </is>
      </c>
      <c r="G27" s="2" t="inlineStr">
        <is>
          <t>SELECCIONAR MERCADO</t>
        </is>
      </c>
      <c r="H27" s="6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2" t="n"/>
      <c r="S27" s="7" t="n"/>
      <c r="T27" s="7">
        <f>IFERROR(1/H27,"")</f>
        <v/>
      </c>
      <c r="U27" s="7">
        <f>IF(OR(S27="",T27=""),"",S27-T27)</f>
        <v/>
      </c>
      <c r="V27" s="7">
        <f>IF(OR(S27="",H27=""),"",S27*H27-1)</f>
        <v/>
      </c>
      <c r="W27" s="2">
        <f>IF(E27="","",ROUND(100*(0.22*I27+0.18*J27+0.18*K27+0.10*L27+0.08*M27+0.06*N27+0.06*O27+0.04*P27+0.04*Q27+0.04*MIN(R27/10,1)),0))</f>
        <v/>
      </c>
      <c r="X27" s="2">
        <f>IF(W27="","",IF(W27&gt;=CONFIG!$B$11,"FUERTE",IF(W27&gt;=CONFIG!$B$12,"MEDIA","BAJA")))</f>
        <v/>
      </c>
      <c r="Y27" s="2">
        <f>IF(OR(H27="",S27=""),"",IF(OR(H27&lt;CONFIG!$B$2,H27&gt;CONFIG!$B$3),"NO APTO",IF(S27&lt;IF(H27&lt;1.6,CONFIG!$B$4,IF(H27&lt;1.7,CONFIG!$B$5,IF(H27&lt;1.8,CONFIG!$B$6,IF(H27&lt;2,CONFIG!$B$7,IF(H27&lt;2.2,CONFIG!$B$8,CONFIG!$B$9))))),"NO APTO",IF(V27&lt;CONFIG!$B$10,"NO APTO",IF(AND(W27&gt;=CONFIG!$B$11,R27&gt;=CONFIG!$B$13),"ALERTA FUERTE",IF(AND(W27&gt;=CONFIG!$B$12,R27&gt;=CONFIG!$B$13),"ALERTA MEDIA","NO APTO"))))))</f>
        <v/>
      </c>
      <c r="Z27" s="2">
        <f>IF(Y27="","",IF(Y27="NO APTO","Revisar cuota/probabilidad/EV/puntuación/muestra",IF(Y27="ALERTA FUERTE","Cumple filtros de cuota + probabilidad + EV + confianza + muestra","Cumple filtros, pero confianza inferior a FUERTE")))</f>
        <v/>
      </c>
    </row>
    <row r="28">
      <c r="A28" s="2">
        <f>IF(E28="","",ROW()-1)</f>
        <v/>
      </c>
      <c r="B28" s="2" t="inlineStr">
        <is>
          <t>2026-08-19</t>
        </is>
      </c>
      <c r="C28" s="2" t="inlineStr">
        <is>
          <t>05:00</t>
        </is>
      </c>
      <c r="D28" s="2" t="inlineStr">
        <is>
          <t>U19 League</t>
        </is>
      </c>
      <c r="E28" s="2" t="inlineStr">
        <is>
          <t>Metalist 1925 U19 vs Livyi Bereh U19</t>
        </is>
      </c>
      <c r="F28" s="2" t="inlineStr">
        <is>
          <t>PENDIENTE</t>
        </is>
      </c>
      <c r="G28" s="2" t="inlineStr">
        <is>
          <t>SELECCIONAR MERCADO</t>
        </is>
      </c>
      <c r="H28" s="6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2" t="n"/>
      <c r="S28" s="7" t="n"/>
      <c r="T28" s="7">
        <f>IFERROR(1/H28,"")</f>
        <v/>
      </c>
      <c r="U28" s="7">
        <f>IF(OR(S28="",T28=""),"",S28-T28)</f>
        <v/>
      </c>
      <c r="V28" s="7">
        <f>IF(OR(S28="",H28=""),"",S28*H28-1)</f>
        <v/>
      </c>
      <c r="W28" s="2">
        <f>IF(E28="","",ROUND(100*(0.22*I28+0.18*J28+0.18*K28+0.10*L28+0.08*M28+0.06*N28+0.06*O28+0.04*P28+0.04*Q28+0.04*MIN(R28/10,1)),0))</f>
        <v/>
      </c>
      <c r="X28" s="2">
        <f>IF(W28="","",IF(W28&gt;=CONFIG!$B$11,"FUERTE",IF(W28&gt;=CONFIG!$B$12,"MEDIA","BAJA")))</f>
        <v/>
      </c>
      <c r="Y28" s="2">
        <f>IF(OR(H28="",S28=""),"",IF(OR(H28&lt;CONFIG!$B$2,H28&gt;CONFIG!$B$3),"NO APTO",IF(S28&lt;IF(H28&lt;1.6,CONFIG!$B$4,IF(H28&lt;1.7,CONFIG!$B$5,IF(H28&lt;1.8,CONFIG!$B$6,IF(H28&lt;2,CONFIG!$B$7,IF(H28&lt;2.2,CONFIG!$B$8,CONFIG!$B$9))))),"NO APTO",IF(V28&lt;CONFIG!$B$10,"NO APTO",IF(AND(W28&gt;=CONFIG!$B$11,R28&gt;=CONFIG!$B$13),"ALERTA FUERTE",IF(AND(W28&gt;=CONFIG!$B$12,R28&gt;=CONFIG!$B$13),"ALERTA MEDIA","NO APTO"))))))</f>
        <v/>
      </c>
      <c r="Z28" s="2">
        <f>IF(Y28="","",IF(Y28="NO APTO","Revisar cuota/probabilidad/EV/puntuación/muestra",IF(Y28="ALERTA FUERTE","Cumple filtros de cuota + probabilidad + EV + confianza + muestra","Cumple filtros, pero confianza inferior a FUERTE")))</f>
        <v/>
      </c>
    </row>
    <row r="29">
      <c r="A29" s="2">
        <f>IF(E29="","",ROW()-1)</f>
        <v/>
      </c>
      <c r="B29" s="2" t="inlineStr">
        <is>
          <t>2026-08-19</t>
        </is>
      </c>
      <c r="C29" s="2" t="inlineStr">
        <is>
          <t>05:00</t>
        </is>
      </c>
      <c r="D29" s="2" t="inlineStr">
        <is>
          <t>U19 League</t>
        </is>
      </c>
      <c r="E29" s="2" t="inlineStr">
        <is>
          <t>Veres Rivne U19 vs Obolon' Kyiv U19</t>
        </is>
      </c>
      <c r="F29" s="2" t="inlineStr">
        <is>
          <t>PENDIENTE</t>
        </is>
      </c>
      <c r="G29" s="2" t="inlineStr">
        <is>
          <t>SELECCIONAR MERCADO</t>
        </is>
      </c>
      <c r="H29" s="6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2" t="n"/>
      <c r="S29" s="7" t="n"/>
      <c r="T29" s="7">
        <f>IFERROR(1/H29,"")</f>
        <v/>
      </c>
      <c r="U29" s="7">
        <f>IF(OR(S29="",T29=""),"",S29-T29)</f>
        <v/>
      </c>
      <c r="V29" s="7">
        <f>IF(OR(S29="",H29=""),"",S29*H29-1)</f>
        <v/>
      </c>
      <c r="W29" s="2">
        <f>IF(E29="","",ROUND(100*(0.22*I29+0.18*J29+0.18*K29+0.10*L29+0.08*M29+0.06*N29+0.06*O29+0.04*P29+0.04*Q29+0.04*MIN(R29/10,1)),0))</f>
        <v/>
      </c>
      <c r="X29" s="2">
        <f>IF(W29="","",IF(W29&gt;=CONFIG!$B$11,"FUERTE",IF(W29&gt;=CONFIG!$B$12,"MEDIA","BAJA")))</f>
        <v/>
      </c>
      <c r="Y29" s="2">
        <f>IF(OR(H29="",S29=""),"",IF(OR(H29&lt;CONFIG!$B$2,H29&gt;CONFIG!$B$3),"NO APTO",IF(S29&lt;IF(H29&lt;1.6,CONFIG!$B$4,IF(H29&lt;1.7,CONFIG!$B$5,IF(H29&lt;1.8,CONFIG!$B$6,IF(H29&lt;2,CONFIG!$B$7,IF(H29&lt;2.2,CONFIG!$B$8,CONFIG!$B$9))))),"NO APTO",IF(V29&lt;CONFIG!$B$10,"NO APTO",IF(AND(W29&gt;=CONFIG!$B$11,R29&gt;=CONFIG!$B$13),"ALERTA FUERTE",IF(AND(W29&gt;=CONFIG!$B$12,R29&gt;=CONFIG!$B$13),"ALERTA MEDIA","NO APTO"))))))</f>
        <v/>
      </c>
      <c r="Z29" s="2">
        <f>IF(Y29="","",IF(Y29="NO APTO","Revisar cuota/probabilidad/EV/puntuación/muestra",IF(Y29="ALERTA FUERTE","Cumple filtros de cuota + probabilidad + EV + confianza + muestra","Cumple filtros, pero confianza inferior a FUERTE")))</f>
        <v/>
      </c>
    </row>
    <row r="30">
      <c r="A30" s="2">
        <f>IF(E30="","",ROW()-1)</f>
        <v/>
      </c>
      <c r="B30" s="2" t="inlineStr">
        <is>
          <t>2026-08-19</t>
        </is>
      </c>
      <c r="C30" s="2" t="inlineStr">
        <is>
          <t>05:00</t>
        </is>
      </c>
      <c r="D30" s="2" t="inlineStr">
        <is>
          <t>Emperor Cup</t>
        </is>
      </c>
      <c r="E30" s="2" t="inlineStr">
        <is>
          <t>Ehime FC vs Pacific University</t>
        </is>
      </c>
      <c r="F30" s="2" t="inlineStr">
        <is>
          <t>PENDIENTE</t>
        </is>
      </c>
      <c r="G30" s="2" t="inlineStr">
        <is>
          <t>SELECCIONAR MERCADO</t>
        </is>
      </c>
      <c r="H30" s="6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2" t="n"/>
      <c r="S30" s="7" t="n"/>
      <c r="T30" s="7">
        <f>IFERROR(1/H30,"")</f>
        <v/>
      </c>
      <c r="U30" s="7">
        <f>IF(OR(S30="",T30=""),"",S30-T30)</f>
        <v/>
      </c>
      <c r="V30" s="7">
        <f>IF(OR(S30="",H30=""),"",S30*H30-1)</f>
        <v/>
      </c>
      <c r="W30" s="2">
        <f>IF(E30="","",ROUND(100*(0.22*I30+0.18*J30+0.18*K30+0.10*L30+0.08*M30+0.06*N30+0.06*O30+0.04*P30+0.04*Q30+0.04*MIN(R30/10,1)),0))</f>
        <v/>
      </c>
      <c r="X30" s="2">
        <f>IF(W30="","",IF(W30&gt;=CONFIG!$B$11,"FUERTE",IF(W30&gt;=CONFIG!$B$12,"MEDIA","BAJA")))</f>
        <v/>
      </c>
      <c r="Y30" s="2">
        <f>IF(OR(H30="",S30=""),"",IF(OR(H30&lt;CONFIG!$B$2,H30&gt;CONFIG!$B$3),"NO APTO",IF(S30&lt;IF(H30&lt;1.6,CONFIG!$B$4,IF(H30&lt;1.7,CONFIG!$B$5,IF(H30&lt;1.8,CONFIG!$B$6,IF(H30&lt;2,CONFIG!$B$7,IF(H30&lt;2.2,CONFIG!$B$8,CONFIG!$B$9))))),"NO APTO",IF(V30&lt;CONFIG!$B$10,"NO APTO",IF(AND(W30&gt;=CONFIG!$B$11,R30&gt;=CONFIG!$B$13),"ALERTA FUERTE",IF(AND(W30&gt;=CONFIG!$B$12,R30&gt;=CONFIG!$B$13),"ALERTA MEDIA","NO APTO"))))))</f>
        <v/>
      </c>
      <c r="Z30" s="2">
        <f>IF(Y30="","",IF(Y30="NO APTO","Revisar cuota/probabilidad/EV/puntuación/muestra",IF(Y30="ALERTA FUERTE","Cumple filtros de cuota + probabilidad + EV + confianza + muestra","Cumple filtros, pero confianza inferior a FUERTE")))</f>
        <v/>
      </c>
    </row>
    <row r="31">
      <c r="A31" s="2">
        <f>IF(E31="","",ROW()-1)</f>
        <v/>
      </c>
      <c r="B31" s="2" t="inlineStr">
        <is>
          <t>2026-08-19</t>
        </is>
      </c>
      <c r="C31" s="2" t="inlineStr">
        <is>
          <t>05:00</t>
        </is>
      </c>
      <c r="D31" s="2" t="inlineStr">
        <is>
          <t>Emperor Cup</t>
        </is>
      </c>
      <c r="E31" s="2" t="inlineStr">
        <is>
          <t>Fukushima United vs Oyama</t>
        </is>
      </c>
      <c r="F31" s="2" t="inlineStr">
        <is>
          <t>PENDIENTE</t>
        </is>
      </c>
      <c r="G31" s="2" t="inlineStr">
        <is>
          <t>SELECCIONAR MERCADO</t>
        </is>
      </c>
      <c r="H31" s="6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2" t="n"/>
      <c r="S31" s="7" t="n"/>
      <c r="T31" s="7">
        <f>IFERROR(1/H31,"")</f>
        <v/>
      </c>
      <c r="U31" s="7">
        <f>IF(OR(S31="",T31=""),"",S31-T31)</f>
        <v/>
      </c>
      <c r="V31" s="7">
        <f>IF(OR(S31="",H31=""),"",S31*H31-1)</f>
        <v/>
      </c>
      <c r="W31" s="2">
        <f>IF(E31="","",ROUND(100*(0.22*I31+0.18*J31+0.18*K31+0.10*L31+0.08*M31+0.06*N31+0.06*O31+0.04*P31+0.04*Q31+0.04*MIN(R31/10,1)),0))</f>
        <v/>
      </c>
      <c r="X31" s="2">
        <f>IF(W31="","",IF(W31&gt;=CONFIG!$B$11,"FUERTE",IF(W31&gt;=CONFIG!$B$12,"MEDIA","BAJA")))</f>
        <v/>
      </c>
      <c r="Y31" s="2">
        <f>IF(OR(H31="",S31=""),"",IF(OR(H31&lt;CONFIG!$B$2,H31&gt;CONFIG!$B$3),"NO APTO",IF(S31&lt;IF(H31&lt;1.6,CONFIG!$B$4,IF(H31&lt;1.7,CONFIG!$B$5,IF(H31&lt;1.8,CONFIG!$B$6,IF(H31&lt;2,CONFIG!$B$7,IF(H31&lt;2.2,CONFIG!$B$8,CONFIG!$B$9))))),"NO APTO",IF(V31&lt;CONFIG!$B$10,"NO APTO",IF(AND(W31&gt;=CONFIG!$B$11,R31&gt;=CONFIG!$B$13),"ALERTA FUERTE",IF(AND(W31&gt;=CONFIG!$B$12,R31&gt;=CONFIG!$B$13),"ALERTA MEDIA","NO APTO"))))))</f>
        <v/>
      </c>
      <c r="Z31" s="2">
        <f>IF(Y31="","",IF(Y31="NO APTO","Revisar cuota/probabilidad/EV/puntuación/muestra",IF(Y31="ALERTA FUERTE","Cumple filtros de cuota + probabilidad + EV + confianza + muestra","Cumple filtros, pero confianza inferior a FUERTE")))</f>
        <v/>
      </c>
    </row>
    <row r="32">
      <c r="A32" s="2">
        <f>IF(E32="","",ROW()-1)</f>
        <v/>
      </c>
      <c r="B32" s="2" t="inlineStr">
        <is>
          <t>2026-08-19</t>
        </is>
      </c>
      <c r="C32" s="2" t="inlineStr">
        <is>
          <t>05:00</t>
        </is>
      </c>
      <c r="D32" s="2" t="inlineStr">
        <is>
          <t>Emperor Cup</t>
        </is>
      </c>
      <c r="E32" s="2" t="inlineStr">
        <is>
          <t>Gainare Tottori vs Roasso Kumamoto</t>
        </is>
      </c>
      <c r="F32" s="2" t="inlineStr">
        <is>
          <t>PENDIENTE</t>
        </is>
      </c>
      <c r="G32" s="2" t="inlineStr">
        <is>
          <t>SELECCIONAR MERCADO</t>
        </is>
      </c>
      <c r="H32" s="6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2" t="n"/>
      <c r="S32" s="7" t="n"/>
      <c r="T32" s="7">
        <f>IFERROR(1/H32,"")</f>
        <v/>
      </c>
      <c r="U32" s="7">
        <f>IF(OR(S32="",T32=""),"",S32-T32)</f>
        <v/>
      </c>
      <c r="V32" s="7">
        <f>IF(OR(S32="",H32=""),"",S32*H32-1)</f>
        <v/>
      </c>
      <c r="W32" s="2">
        <f>IF(E32="","",ROUND(100*(0.22*I32+0.18*J32+0.18*K32+0.10*L32+0.08*M32+0.06*N32+0.06*O32+0.04*P32+0.04*Q32+0.04*MIN(R32/10,1)),0))</f>
        <v/>
      </c>
      <c r="X32" s="2">
        <f>IF(W32="","",IF(W32&gt;=CONFIG!$B$11,"FUERTE",IF(W32&gt;=CONFIG!$B$12,"MEDIA","BAJA")))</f>
        <v/>
      </c>
      <c r="Y32" s="2">
        <f>IF(OR(H32="",S32=""),"",IF(OR(H32&lt;CONFIG!$B$2,H32&gt;CONFIG!$B$3),"NO APTO",IF(S32&lt;IF(H32&lt;1.6,CONFIG!$B$4,IF(H32&lt;1.7,CONFIG!$B$5,IF(H32&lt;1.8,CONFIG!$B$6,IF(H32&lt;2,CONFIG!$B$7,IF(H32&lt;2.2,CONFIG!$B$8,CONFIG!$B$9))))),"NO APTO",IF(V32&lt;CONFIG!$B$10,"NO APTO",IF(AND(W32&gt;=CONFIG!$B$11,R32&gt;=CONFIG!$B$13),"ALERTA FUERTE",IF(AND(W32&gt;=CONFIG!$B$12,R32&gt;=CONFIG!$B$13),"ALERTA MEDIA","NO APTO"))))))</f>
        <v/>
      </c>
      <c r="Z32" s="2">
        <f>IF(Y32="","",IF(Y32="NO APTO","Revisar cuota/probabilidad/EV/puntuación/muestra",IF(Y32="ALERTA FUERTE","Cumple filtros de cuota + probabilidad + EV + confianza + muestra","Cumple filtros, pero confianza inferior a FUERTE")))</f>
        <v/>
      </c>
    </row>
    <row r="33">
      <c r="A33" s="2">
        <f>IF(E33="","",ROW()-1)</f>
        <v/>
      </c>
      <c r="B33" s="2" t="inlineStr">
        <is>
          <t>2026-08-19</t>
        </is>
      </c>
      <c r="C33" s="2" t="inlineStr">
        <is>
          <t>05:00</t>
        </is>
      </c>
      <c r="D33" s="2" t="inlineStr">
        <is>
          <t>Emperor Cup</t>
        </is>
      </c>
      <c r="E33" s="2" t="inlineStr">
        <is>
          <t>Kitakyushu vs Okinawa SV</t>
        </is>
      </c>
      <c r="F33" s="2" t="inlineStr">
        <is>
          <t>PENDIENTE</t>
        </is>
      </c>
      <c r="G33" s="2" t="inlineStr">
        <is>
          <t>SELECCIONAR MERCADO</t>
        </is>
      </c>
      <c r="H33" s="6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2" t="n"/>
      <c r="S33" s="7" t="n"/>
      <c r="T33" s="7">
        <f>IFERROR(1/H33,"")</f>
        <v/>
      </c>
      <c r="U33" s="7">
        <f>IF(OR(S33="",T33=""),"",S33-T33)</f>
        <v/>
      </c>
      <c r="V33" s="7">
        <f>IF(OR(S33="",H33=""),"",S33*H33-1)</f>
        <v/>
      </c>
      <c r="W33" s="2">
        <f>IF(E33="","",ROUND(100*(0.22*I33+0.18*J33+0.18*K33+0.10*L33+0.08*M33+0.06*N33+0.06*O33+0.04*P33+0.04*Q33+0.04*MIN(R33/10,1)),0))</f>
        <v/>
      </c>
      <c r="X33" s="2">
        <f>IF(W33="","",IF(W33&gt;=CONFIG!$B$11,"FUERTE",IF(W33&gt;=CONFIG!$B$12,"MEDIA","BAJA")))</f>
        <v/>
      </c>
      <c r="Y33" s="2">
        <f>IF(OR(H33="",S33=""),"",IF(OR(H33&lt;CONFIG!$B$2,H33&gt;CONFIG!$B$3),"NO APTO",IF(S33&lt;IF(H33&lt;1.6,CONFIG!$B$4,IF(H33&lt;1.7,CONFIG!$B$5,IF(H33&lt;1.8,CONFIG!$B$6,IF(H33&lt;2,CONFIG!$B$7,IF(H33&lt;2.2,CONFIG!$B$8,CONFIG!$B$9))))),"NO APTO",IF(V33&lt;CONFIG!$B$10,"NO APTO",IF(AND(W33&gt;=CONFIG!$B$11,R33&gt;=CONFIG!$B$13),"ALERTA FUERTE",IF(AND(W33&gt;=CONFIG!$B$12,R33&gt;=CONFIG!$B$13),"ALERTA MEDIA","NO APTO"))))))</f>
        <v/>
      </c>
      <c r="Z33" s="2">
        <f>IF(Y33="","",IF(Y33="NO APTO","Revisar cuota/probabilidad/EV/puntuación/muestra",IF(Y33="ALERTA FUERTE","Cumple filtros de cuota + probabilidad + EV + confianza + muestra","Cumple filtros, pero confianza inferior a FUERTE")))</f>
        <v/>
      </c>
    </row>
    <row r="34">
      <c r="A34" s="2">
        <f>IF(E34="","",ROW()-1)</f>
        <v/>
      </c>
      <c r="B34" s="2" t="inlineStr">
        <is>
          <t>2026-08-19</t>
        </is>
      </c>
      <c r="C34" s="2" t="inlineStr">
        <is>
          <t>05:00</t>
        </is>
      </c>
      <c r="D34" s="2" t="inlineStr">
        <is>
          <t>Emperor Cup</t>
        </is>
      </c>
      <c r="E34" s="2" t="inlineStr">
        <is>
          <t>Kagoshima United vs Renofa Yamaguchi</t>
        </is>
      </c>
      <c r="F34" s="2" t="inlineStr">
        <is>
          <t>PENDIENTE</t>
        </is>
      </c>
      <c r="G34" s="2" t="inlineStr">
        <is>
          <t>SELECCIONAR MERCADO</t>
        </is>
      </c>
      <c r="H34" s="6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2" t="n"/>
      <c r="S34" s="7" t="n"/>
      <c r="T34" s="7">
        <f>IFERROR(1/H34,"")</f>
        <v/>
      </c>
      <c r="U34" s="7">
        <f>IF(OR(S34="",T34=""),"",S34-T34)</f>
        <v/>
      </c>
      <c r="V34" s="7">
        <f>IF(OR(S34="",H34=""),"",S34*H34-1)</f>
        <v/>
      </c>
      <c r="W34" s="2">
        <f>IF(E34="","",ROUND(100*(0.22*I34+0.18*J34+0.18*K34+0.10*L34+0.08*M34+0.06*N34+0.06*O34+0.04*P34+0.04*Q34+0.04*MIN(R34/10,1)),0))</f>
        <v/>
      </c>
      <c r="X34" s="2">
        <f>IF(W34="","",IF(W34&gt;=CONFIG!$B$11,"FUERTE",IF(W34&gt;=CONFIG!$B$12,"MEDIA","BAJA")))</f>
        <v/>
      </c>
      <c r="Y34" s="2">
        <f>IF(OR(H34="",S34=""),"",IF(OR(H34&lt;CONFIG!$B$2,H34&gt;CONFIG!$B$3),"NO APTO",IF(S34&lt;IF(H34&lt;1.6,CONFIG!$B$4,IF(H34&lt;1.7,CONFIG!$B$5,IF(H34&lt;1.8,CONFIG!$B$6,IF(H34&lt;2,CONFIG!$B$7,IF(H34&lt;2.2,CONFIG!$B$8,CONFIG!$B$9))))),"NO APTO",IF(V34&lt;CONFIG!$B$10,"NO APTO",IF(AND(W34&gt;=CONFIG!$B$11,R34&gt;=CONFIG!$B$13),"ALERTA FUERTE",IF(AND(W34&gt;=CONFIG!$B$12,R34&gt;=CONFIG!$B$13),"ALERTA MEDIA","NO APTO"))))))</f>
        <v/>
      </c>
      <c r="Z34" s="2">
        <f>IF(Y34="","",IF(Y34="NO APTO","Revisar cuota/probabilidad/EV/puntuación/muestra",IF(Y34="ALERTA FUERTE","Cumple filtros de cuota + probabilidad + EV + confianza + muestra","Cumple filtros, pero confianza inferior a FUERTE")))</f>
        <v/>
      </c>
    </row>
    <row r="35">
      <c r="A35" s="2">
        <f>IF(E35="","",ROW()-1)</f>
        <v/>
      </c>
      <c r="B35" s="2" t="inlineStr">
        <is>
          <t>2026-08-19</t>
        </is>
      </c>
      <c r="C35" s="2" t="inlineStr">
        <is>
          <t>05:00</t>
        </is>
      </c>
      <c r="D35" s="2" t="inlineStr">
        <is>
          <t>Emperor Cup</t>
        </is>
      </c>
      <c r="E35" s="2" t="inlineStr">
        <is>
          <t>Kanazawa vs Kyoto Sangyo University</t>
        </is>
      </c>
      <c r="F35" s="2" t="inlineStr">
        <is>
          <t>PENDIENTE</t>
        </is>
      </c>
      <c r="G35" s="2" t="inlineStr">
        <is>
          <t>SELECCIONAR MERCADO</t>
        </is>
      </c>
      <c r="H35" s="6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2" t="n"/>
      <c r="S35" s="7" t="n"/>
      <c r="T35" s="7">
        <f>IFERROR(1/H35,"")</f>
        <v/>
      </c>
      <c r="U35" s="7">
        <f>IF(OR(S35="",T35=""),"",S35-T35)</f>
        <v/>
      </c>
      <c r="V35" s="7">
        <f>IF(OR(S35="",H35=""),"",S35*H35-1)</f>
        <v/>
      </c>
      <c r="W35" s="2">
        <f>IF(E35="","",ROUND(100*(0.22*I35+0.18*J35+0.18*K35+0.10*L35+0.08*M35+0.06*N35+0.06*O35+0.04*P35+0.04*Q35+0.04*MIN(R35/10,1)),0))</f>
        <v/>
      </c>
      <c r="X35" s="2">
        <f>IF(W35="","",IF(W35&gt;=CONFIG!$B$11,"FUERTE",IF(W35&gt;=CONFIG!$B$12,"MEDIA","BAJA")))</f>
        <v/>
      </c>
      <c r="Y35" s="2">
        <f>IF(OR(H35="",S35=""),"",IF(OR(H35&lt;CONFIG!$B$2,H35&gt;CONFIG!$B$3),"NO APTO",IF(S35&lt;IF(H35&lt;1.6,CONFIG!$B$4,IF(H35&lt;1.7,CONFIG!$B$5,IF(H35&lt;1.8,CONFIG!$B$6,IF(H35&lt;2,CONFIG!$B$7,IF(H35&lt;2.2,CONFIG!$B$8,CONFIG!$B$9))))),"NO APTO",IF(V35&lt;CONFIG!$B$10,"NO APTO",IF(AND(W35&gt;=CONFIG!$B$11,R35&gt;=CONFIG!$B$13),"ALERTA FUERTE",IF(AND(W35&gt;=CONFIG!$B$12,R35&gt;=CONFIG!$B$13),"ALERTA MEDIA","NO APTO"))))))</f>
        <v/>
      </c>
      <c r="Z35" s="2">
        <f>IF(Y35="","",IF(Y35="NO APTO","Revisar cuota/probabilidad/EV/puntuación/muestra",IF(Y35="ALERTA FUERTE","Cumple filtros de cuota + probabilidad + EV + confianza + muestra","Cumple filtros, pero confianza inferior a FUERTE")))</f>
        <v/>
      </c>
    </row>
    <row r="36">
      <c r="A36" s="2">
        <f>IF(E36="","",ROW()-1)</f>
        <v/>
      </c>
      <c r="B36" s="2" t="inlineStr">
        <is>
          <t>2026-08-19</t>
        </is>
      </c>
      <c r="C36" s="2" t="inlineStr">
        <is>
          <t>05:00</t>
        </is>
      </c>
      <c r="D36" s="2" t="inlineStr">
        <is>
          <t>Emperor Cup</t>
        </is>
      </c>
      <c r="E36" s="2" t="inlineStr">
        <is>
          <t>Parceiro Nagano vs Fukui United</t>
        </is>
      </c>
      <c r="F36" s="2" t="inlineStr">
        <is>
          <t>PENDIENTE</t>
        </is>
      </c>
      <c r="G36" s="2" t="inlineStr">
        <is>
          <t>SELECCIONAR MERCADO</t>
        </is>
      </c>
      <c r="H36" s="6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2" t="n"/>
      <c r="S36" s="7" t="n"/>
      <c r="T36" s="7">
        <f>IFERROR(1/H36,"")</f>
        <v/>
      </c>
      <c r="U36" s="7">
        <f>IF(OR(S36="",T36=""),"",S36-T36)</f>
        <v/>
      </c>
      <c r="V36" s="7">
        <f>IF(OR(S36="",H36=""),"",S36*H36-1)</f>
        <v/>
      </c>
      <c r="W36" s="2">
        <f>IF(E36="","",ROUND(100*(0.22*I36+0.18*J36+0.18*K36+0.10*L36+0.08*M36+0.06*N36+0.06*O36+0.04*P36+0.04*Q36+0.04*MIN(R36/10,1)),0))</f>
        <v/>
      </c>
      <c r="X36" s="2">
        <f>IF(W36="","",IF(W36&gt;=CONFIG!$B$11,"FUERTE",IF(W36&gt;=CONFIG!$B$12,"MEDIA","BAJA")))</f>
        <v/>
      </c>
      <c r="Y36" s="2">
        <f>IF(OR(H36="",S36=""),"",IF(OR(H36&lt;CONFIG!$B$2,H36&gt;CONFIG!$B$3),"NO APTO",IF(S36&lt;IF(H36&lt;1.6,CONFIG!$B$4,IF(H36&lt;1.7,CONFIG!$B$5,IF(H36&lt;1.8,CONFIG!$B$6,IF(H36&lt;2,CONFIG!$B$7,IF(H36&lt;2.2,CONFIG!$B$8,CONFIG!$B$9))))),"NO APTO",IF(V36&lt;CONFIG!$B$10,"NO APTO",IF(AND(W36&gt;=CONFIG!$B$11,R36&gt;=CONFIG!$B$13),"ALERTA FUERTE",IF(AND(W36&gt;=CONFIG!$B$12,R36&gt;=CONFIG!$B$13),"ALERTA MEDIA","NO APTO"))))))</f>
        <v/>
      </c>
      <c r="Z36" s="2">
        <f>IF(Y36="","",IF(Y36="NO APTO","Revisar cuota/probabilidad/EV/puntuación/muestra",IF(Y36="ALERTA FUERTE","Cumple filtros de cuota + probabilidad + EV + confianza + muestra","Cumple filtros, pero confianza inferior a FUERTE")))</f>
        <v/>
      </c>
    </row>
    <row r="37">
      <c r="A37" s="2">
        <f>IF(E37="","",ROW()-1)</f>
        <v/>
      </c>
      <c r="B37" s="2" t="inlineStr">
        <is>
          <t>2026-08-19</t>
        </is>
      </c>
      <c r="C37" s="2" t="inlineStr">
        <is>
          <t>05:00</t>
        </is>
      </c>
      <c r="D37" s="2" t="inlineStr">
        <is>
          <t>Emperor Cup</t>
        </is>
      </c>
      <c r="E37" s="2" t="inlineStr">
        <is>
          <t>Nara Club vs Osaka</t>
        </is>
      </c>
      <c r="F37" s="2" t="inlineStr">
        <is>
          <t>PENDIENTE</t>
        </is>
      </c>
      <c r="G37" s="2" t="inlineStr">
        <is>
          <t>SELECCIONAR MERCADO</t>
        </is>
      </c>
      <c r="H37" s="6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2" t="n"/>
      <c r="S37" s="7" t="n"/>
      <c r="T37" s="7">
        <f>IFERROR(1/H37,"")</f>
        <v/>
      </c>
      <c r="U37" s="7">
        <f>IF(OR(S37="",T37=""),"",S37-T37)</f>
        <v/>
      </c>
      <c r="V37" s="7">
        <f>IF(OR(S37="",H37=""),"",S37*H37-1)</f>
        <v/>
      </c>
      <c r="W37" s="2">
        <f>IF(E37="","",ROUND(100*(0.22*I37+0.18*J37+0.18*K37+0.10*L37+0.08*M37+0.06*N37+0.06*O37+0.04*P37+0.04*Q37+0.04*MIN(R37/10,1)),0))</f>
        <v/>
      </c>
      <c r="X37" s="2">
        <f>IF(W37="","",IF(W37&gt;=CONFIG!$B$11,"FUERTE",IF(W37&gt;=CONFIG!$B$12,"MEDIA","BAJA")))</f>
        <v/>
      </c>
      <c r="Y37" s="2">
        <f>IF(OR(H37="",S37=""),"",IF(OR(H37&lt;CONFIG!$B$2,H37&gt;CONFIG!$B$3),"NO APTO",IF(S37&lt;IF(H37&lt;1.6,CONFIG!$B$4,IF(H37&lt;1.7,CONFIG!$B$5,IF(H37&lt;1.8,CONFIG!$B$6,IF(H37&lt;2,CONFIG!$B$7,IF(H37&lt;2.2,CONFIG!$B$8,CONFIG!$B$9))))),"NO APTO",IF(V37&lt;CONFIG!$B$10,"NO APTO",IF(AND(W37&gt;=CONFIG!$B$11,R37&gt;=CONFIG!$B$13),"ALERTA FUERTE",IF(AND(W37&gt;=CONFIG!$B$12,R37&gt;=CONFIG!$B$13),"ALERTA MEDIA","NO APTO"))))))</f>
        <v/>
      </c>
      <c r="Z37" s="2">
        <f>IF(Y37="","",IF(Y37="NO APTO","Revisar cuota/probabilidad/EV/puntuación/muestra",IF(Y37="ALERTA FUERTE","Cumple filtros de cuota + probabilidad + EV + confianza + muestra","Cumple filtros, pero confianza inferior a FUERTE")))</f>
        <v/>
      </c>
    </row>
    <row r="38">
      <c r="A38" s="2">
        <f>IF(E38="","",ROW()-1)</f>
        <v/>
      </c>
      <c r="B38" s="2" t="inlineStr">
        <is>
          <t>2026-08-19</t>
        </is>
      </c>
      <c r="C38" s="2" t="inlineStr">
        <is>
          <t>05:00</t>
        </is>
      </c>
      <c r="D38" s="2" t="inlineStr">
        <is>
          <t>Emperor Cup</t>
        </is>
      </c>
      <c r="E38" s="2" t="inlineStr">
        <is>
          <t>Biwako Shiga vs Japan Soccer College</t>
        </is>
      </c>
      <c r="F38" s="2" t="inlineStr">
        <is>
          <t>PENDIENTE</t>
        </is>
      </c>
      <c r="G38" s="2" t="inlineStr">
        <is>
          <t>SELECCIONAR MERCADO</t>
        </is>
      </c>
      <c r="H38" s="6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2" t="n"/>
      <c r="S38" s="7" t="n"/>
      <c r="T38" s="7">
        <f>IFERROR(1/H38,"")</f>
        <v/>
      </c>
      <c r="U38" s="7">
        <f>IF(OR(S38="",T38=""),"",S38-T38)</f>
        <v/>
      </c>
      <c r="V38" s="7">
        <f>IF(OR(S38="",H38=""),"",S38*H38-1)</f>
        <v/>
      </c>
      <c r="W38" s="2">
        <f>IF(E38="","",ROUND(100*(0.22*I38+0.18*J38+0.18*K38+0.10*L38+0.08*M38+0.06*N38+0.06*O38+0.04*P38+0.04*Q38+0.04*MIN(R38/10,1)),0))</f>
        <v/>
      </c>
      <c r="X38" s="2">
        <f>IF(W38="","",IF(W38&gt;=CONFIG!$B$11,"FUERTE",IF(W38&gt;=CONFIG!$B$12,"MEDIA","BAJA")))</f>
        <v/>
      </c>
      <c r="Y38" s="2">
        <f>IF(OR(H38="",S38=""),"",IF(OR(H38&lt;CONFIG!$B$2,H38&gt;CONFIG!$B$3),"NO APTO",IF(S38&lt;IF(H38&lt;1.6,CONFIG!$B$4,IF(H38&lt;1.7,CONFIG!$B$5,IF(H38&lt;1.8,CONFIG!$B$6,IF(H38&lt;2,CONFIG!$B$7,IF(H38&lt;2.2,CONFIG!$B$8,CONFIG!$B$9))))),"NO APTO",IF(V38&lt;CONFIG!$B$10,"NO APTO",IF(AND(W38&gt;=CONFIG!$B$11,R38&gt;=CONFIG!$B$13),"ALERTA FUERTE",IF(AND(W38&gt;=CONFIG!$B$12,R38&gt;=CONFIG!$B$13),"ALERTA MEDIA","NO APTO"))))))</f>
        <v/>
      </c>
      <c r="Z38" s="2">
        <f>IF(Y38="","",IF(Y38="NO APTO","Revisar cuota/probabilidad/EV/puntuación/muestra",IF(Y38="ALERTA FUERTE","Cumple filtros de cuota + probabilidad + EV + confianza + muestra","Cumple filtros, pero confianza inferior a FUERTE")))</f>
        <v/>
      </c>
    </row>
    <row r="39">
      <c r="A39" s="2">
        <f>IF(E39="","",ROW()-1)</f>
        <v/>
      </c>
      <c r="B39" s="2" t="inlineStr">
        <is>
          <t>2026-08-19</t>
        </is>
      </c>
      <c r="C39" s="2" t="inlineStr">
        <is>
          <t>05:00</t>
        </is>
      </c>
      <c r="D39" s="2" t="inlineStr">
        <is>
          <t>Emperor Cup</t>
        </is>
      </c>
      <c r="E39" s="2" t="inlineStr">
        <is>
          <t>Ryutsu Keizai University vs Criacao Shinjuku</t>
        </is>
      </c>
      <c r="F39" s="2" t="inlineStr">
        <is>
          <t>PENDIENTE</t>
        </is>
      </c>
      <c r="G39" s="2" t="inlineStr">
        <is>
          <t>SELECCIONAR MERCADO</t>
        </is>
      </c>
      <c r="H39" s="6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2" t="n"/>
      <c r="S39" s="7" t="n"/>
      <c r="T39" s="7">
        <f>IFERROR(1/H39,"")</f>
        <v/>
      </c>
      <c r="U39" s="7">
        <f>IF(OR(S39="",T39=""),"",S39-T39)</f>
        <v/>
      </c>
      <c r="V39" s="7">
        <f>IF(OR(S39="",H39=""),"",S39*H39-1)</f>
        <v/>
      </c>
      <c r="W39" s="2">
        <f>IF(E39="","",ROUND(100*(0.22*I39+0.18*J39+0.18*K39+0.10*L39+0.08*M39+0.06*N39+0.06*O39+0.04*P39+0.04*Q39+0.04*MIN(R39/10,1)),0))</f>
        <v/>
      </c>
      <c r="X39" s="2">
        <f>IF(W39="","",IF(W39&gt;=CONFIG!$B$11,"FUERTE",IF(W39&gt;=CONFIG!$B$12,"MEDIA","BAJA")))</f>
        <v/>
      </c>
      <c r="Y39" s="2">
        <f>IF(OR(H39="",S39=""),"",IF(OR(H39&lt;CONFIG!$B$2,H39&gt;CONFIG!$B$3),"NO APTO",IF(S39&lt;IF(H39&lt;1.6,CONFIG!$B$4,IF(H39&lt;1.7,CONFIG!$B$5,IF(H39&lt;1.8,CONFIG!$B$6,IF(H39&lt;2,CONFIG!$B$7,IF(H39&lt;2.2,CONFIG!$B$8,CONFIG!$B$9))))),"NO APTO",IF(V39&lt;CONFIG!$B$10,"NO APTO",IF(AND(W39&gt;=CONFIG!$B$11,R39&gt;=CONFIG!$B$13),"ALERTA FUERTE",IF(AND(W39&gt;=CONFIG!$B$12,R39&gt;=CONFIG!$B$13),"ALERTA MEDIA","NO APTO"))))))</f>
        <v/>
      </c>
      <c r="Z39" s="2">
        <f>IF(Y39="","",IF(Y39="NO APTO","Revisar cuota/probabilidad/EV/puntuación/muestra",IF(Y39="ALERTA FUERTE","Cumple filtros de cuota + probabilidad + EV + confianza + muestra","Cumple filtros, pero confianza inferior a FUERTE")))</f>
        <v/>
      </c>
    </row>
    <row r="40">
      <c r="A40" s="2">
        <f>IF(E40="","",ROW()-1)</f>
        <v/>
      </c>
      <c r="B40" s="2" t="inlineStr">
        <is>
          <t>2026-08-19</t>
        </is>
      </c>
      <c r="C40" s="2" t="inlineStr">
        <is>
          <t>05:00</t>
        </is>
      </c>
      <c r="D40" s="2" t="inlineStr">
        <is>
          <t>Emperor Cup</t>
        </is>
      </c>
      <c r="E40" s="2" t="inlineStr">
        <is>
          <t>Senshu University vs Tsukuba University</t>
        </is>
      </c>
      <c r="F40" s="2" t="inlineStr">
        <is>
          <t>PENDIENTE</t>
        </is>
      </c>
      <c r="G40" s="2" t="inlineStr">
        <is>
          <t>SELECCIONAR MERCADO</t>
        </is>
      </c>
      <c r="H40" s="6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2" t="n"/>
      <c r="S40" s="7" t="n"/>
      <c r="T40" s="7">
        <f>IFERROR(1/H40,"")</f>
        <v/>
      </c>
      <c r="U40" s="7">
        <f>IF(OR(S40="",T40=""),"",S40-T40)</f>
        <v/>
      </c>
      <c r="V40" s="7">
        <f>IF(OR(S40="",H40=""),"",S40*H40-1)</f>
        <v/>
      </c>
      <c r="W40" s="2">
        <f>IF(E40="","",ROUND(100*(0.22*I40+0.18*J40+0.18*K40+0.10*L40+0.08*M40+0.06*N40+0.06*O40+0.04*P40+0.04*Q40+0.04*MIN(R40/10,1)),0))</f>
        <v/>
      </c>
      <c r="X40" s="2">
        <f>IF(W40="","",IF(W40&gt;=CONFIG!$B$11,"FUERTE",IF(W40&gt;=CONFIG!$B$12,"MEDIA","BAJA")))</f>
        <v/>
      </c>
      <c r="Y40" s="2">
        <f>IF(OR(H40="",S40=""),"",IF(OR(H40&lt;CONFIG!$B$2,H40&gt;CONFIG!$B$3),"NO APTO",IF(S40&lt;IF(H40&lt;1.6,CONFIG!$B$4,IF(H40&lt;1.7,CONFIG!$B$5,IF(H40&lt;1.8,CONFIG!$B$6,IF(H40&lt;2,CONFIG!$B$7,IF(H40&lt;2.2,CONFIG!$B$8,CONFIG!$B$9))))),"NO APTO",IF(V40&lt;CONFIG!$B$10,"NO APTO",IF(AND(W40&gt;=CONFIG!$B$11,R40&gt;=CONFIG!$B$13),"ALERTA FUERTE",IF(AND(W40&gt;=CONFIG!$B$12,R40&gt;=CONFIG!$B$13),"ALERTA MEDIA","NO APTO"))))))</f>
        <v/>
      </c>
      <c r="Z40" s="2">
        <f>IF(Y40="","",IF(Y40="NO APTO","Revisar cuota/probabilidad/EV/puntuación/muestra",IF(Y40="ALERTA FUERTE","Cumple filtros de cuota + probabilidad + EV + confianza + muestra","Cumple filtros, pero confianza inferior a FUERTE")))</f>
        <v/>
      </c>
    </row>
    <row r="41">
      <c r="A41" s="2">
        <f>IF(E41="","",ROW()-1)</f>
        <v/>
      </c>
      <c r="B41" s="2" t="inlineStr">
        <is>
          <t>2026-08-19</t>
        </is>
      </c>
      <c r="C41" s="2" t="inlineStr">
        <is>
          <t>05:00</t>
        </is>
      </c>
      <c r="D41" s="2" t="inlineStr">
        <is>
          <t>Emperor Cup</t>
        </is>
      </c>
      <c r="E41" s="2" t="inlineStr">
        <is>
          <t>Tochigi SC vs Urayasu</t>
        </is>
      </c>
      <c r="F41" s="2" t="inlineStr">
        <is>
          <t>PENDIENTE</t>
        </is>
      </c>
      <c r="G41" s="2" t="inlineStr">
        <is>
          <t>SELECCIONAR MERCADO</t>
        </is>
      </c>
      <c r="H41" s="6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2" t="n"/>
      <c r="S41" s="7" t="n"/>
      <c r="T41" s="7">
        <f>IFERROR(1/H41,"")</f>
        <v/>
      </c>
      <c r="U41" s="7">
        <f>IF(OR(S41="",T41=""),"",S41-T41)</f>
        <v/>
      </c>
      <c r="V41" s="7">
        <f>IF(OR(S41="",H41=""),"",S41*H41-1)</f>
        <v/>
      </c>
      <c r="W41" s="2">
        <f>IF(E41="","",ROUND(100*(0.22*I41+0.18*J41+0.18*K41+0.10*L41+0.08*M41+0.06*N41+0.06*O41+0.04*P41+0.04*Q41+0.04*MIN(R41/10,1)),0))</f>
        <v/>
      </c>
      <c r="X41" s="2">
        <f>IF(W41="","",IF(W41&gt;=CONFIG!$B$11,"FUERTE",IF(W41&gt;=CONFIG!$B$12,"MEDIA","BAJA")))</f>
        <v/>
      </c>
      <c r="Y41" s="2">
        <f>IF(OR(H41="",S41=""),"",IF(OR(H41&lt;CONFIG!$B$2,H41&gt;CONFIG!$B$3),"NO APTO",IF(S41&lt;IF(H41&lt;1.6,CONFIG!$B$4,IF(H41&lt;1.7,CONFIG!$B$5,IF(H41&lt;1.8,CONFIG!$B$6,IF(H41&lt;2,CONFIG!$B$7,IF(H41&lt;2.2,CONFIG!$B$8,CONFIG!$B$9))))),"NO APTO",IF(V41&lt;CONFIG!$B$10,"NO APTO",IF(AND(W41&gt;=CONFIG!$B$11,R41&gt;=CONFIG!$B$13),"ALERTA FUERTE",IF(AND(W41&gt;=CONFIG!$B$12,R41&gt;=CONFIG!$B$13),"ALERTA MEDIA","NO APTO"))))))</f>
        <v/>
      </c>
      <c r="Z41" s="2">
        <f>IF(Y41="","",IF(Y41="NO APTO","Revisar cuota/probabilidad/EV/puntuación/muestra",IF(Y41="ALERTA FUERTE","Cumple filtros de cuota + probabilidad + EV + confianza + muestra","Cumple filtros, pero confianza inferior a FUERTE")))</f>
        <v/>
      </c>
    </row>
    <row r="42">
      <c r="A42" s="2">
        <f>IF(E42="","",ROW()-1)</f>
        <v/>
      </c>
      <c r="B42" s="2" t="inlineStr">
        <is>
          <t>2026-08-19</t>
        </is>
      </c>
      <c r="C42" s="2" t="inlineStr">
        <is>
          <t>05:00</t>
        </is>
      </c>
      <c r="D42" s="2" t="inlineStr">
        <is>
          <t>Emperor Cup</t>
        </is>
      </c>
      <c r="E42" s="2" t="inlineStr">
        <is>
          <t>Tohoku Gakuin University vs Thespakusatsu Gunma</t>
        </is>
      </c>
      <c r="F42" s="2" t="inlineStr">
        <is>
          <t>PENDIENTE</t>
        </is>
      </c>
      <c r="G42" s="2" t="inlineStr">
        <is>
          <t>SELECCIONAR MERCADO</t>
        </is>
      </c>
      <c r="H42" s="6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2" t="n"/>
      <c r="S42" s="7" t="n"/>
      <c r="T42" s="7">
        <f>IFERROR(1/H42,"")</f>
        <v/>
      </c>
      <c r="U42" s="7">
        <f>IF(OR(S42="",T42=""),"",S42-T42)</f>
        <v/>
      </c>
      <c r="V42" s="7">
        <f>IF(OR(S42="",H42=""),"",S42*H42-1)</f>
        <v/>
      </c>
      <c r="W42" s="2">
        <f>IF(E42="","",ROUND(100*(0.22*I42+0.18*J42+0.18*K42+0.10*L42+0.08*M42+0.06*N42+0.06*O42+0.04*P42+0.04*Q42+0.04*MIN(R42/10,1)),0))</f>
        <v/>
      </c>
      <c r="X42" s="2">
        <f>IF(W42="","",IF(W42&gt;=CONFIG!$B$11,"FUERTE",IF(W42&gt;=CONFIG!$B$12,"MEDIA","BAJA")))</f>
        <v/>
      </c>
      <c r="Y42" s="2">
        <f>IF(OR(H42="",S42=""),"",IF(OR(H42&lt;CONFIG!$B$2,H42&gt;CONFIG!$B$3),"NO APTO",IF(S42&lt;IF(H42&lt;1.6,CONFIG!$B$4,IF(H42&lt;1.7,CONFIG!$B$5,IF(H42&lt;1.8,CONFIG!$B$6,IF(H42&lt;2,CONFIG!$B$7,IF(H42&lt;2.2,CONFIG!$B$8,CONFIG!$B$9))))),"NO APTO",IF(V42&lt;CONFIG!$B$10,"NO APTO",IF(AND(W42&gt;=CONFIG!$B$11,R42&gt;=CONFIG!$B$13),"ALERTA FUERTE",IF(AND(W42&gt;=CONFIG!$B$12,R42&gt;=CONFIG!$B$13),"ALERTA MEDIA","NO APTO"))))))</f>
        <v/>
      </c>
      <c r="Z42" s="2">
        <f>IF(Y42="","",IF(Y42="NO APTO","Revisar cuota/probabilidad/EV/puntuación/muestra",IF(Y42="ALERTA FUERTE","Cumple filtros de cuota + probabilidad + EV + confianza + muestra","Cumple filtros, pero confianza inferior a FUERTE")))</f>
        <v/>
      </c>
    </row>
    <row r="43">
      <c r="A43" s="2">
        <f>IF(E43="","",ROW()-1)</f>
        <v/>
      </c>
      <c r="B43" s="2" t="inlineStr">
        <is>
          <t>2026-08-19</t>
        </is>
      </c>
      <c r="C43" s="2" t="inlineStr">
        <is>
          <t>05:00</t>
        </is>
      </c>
      <c r="D43" s="2" t="inlineStr">
        <is>
          <t>Emperor Cup</t>
        </is>
      </c>
      <c r="E43" s="2" t="inlineStr">
        <is>
          <t>Veroskronos Tsuno vs Kamatamare Sanuki</t>
        </is>
      </c>
      <c r="F43" s="2" t="inlineStr">
        <is>
          <t>PENDIENTE</t>
        </is>
      </c>
      <c r="G43" s="2" t="inlineStr">
        <is>
          <t>SELECCIONAR MERCADO</t>
        </is>
      </c>
      <c r="H43" s="6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2" t="n"/>
      <c r="S43" s="7" t="n"/>
      <c r="T43" s="7">
        <f>IFERROR(1/H43,"")</f>
        <v/>
      </c>
      <c r="U43" s="7">
        <f>IF(OR(S43="",T43=""),"",S43-T43)</f>
        <v/>
      </c>
      <c r="V43" s="7">
        <f>IF(OR(S43="",H43=""),"",S43*H43-1)</f>
        <v/>
      </c>
      <c r="W43" s="2">
        <f>IF(E43="","",ROUND(100*(0.22*I43+0.18*J43+0.18*K43+0.10*L43+0.08*M43+0.06*N43+0.06*O43+0.04*P43+0.04*Q43+0.04*MIN(R43/10,1)),0))</f>
        <v/>
      </c>
      <c r="X43" s="2">
        <f>IF(W43="","",IF(W43&gt;=CONFIG!$B$11,"FUERTE",IF(W43&gt;=CONFIG!$B$12,"MEDIA","BAJA")))</f>
        <v/>
      </c>
      <c r="Y43" s="2">
        <f>IF(OR(H43="",S43=""),"",IF(OR(H43&lt;CONFIG!$B$2,H43&gt;CONFIG!$B$3),"NO APTO",IF(S43&lt;IF(H43&lt;1.6,CONFIG!$B$4,IF(H43&lt;1.7,CONFIG!$B$5,IF(H43&lt;1.8,CONFIG!$B$6,IF(H43&lt;2,CONFIG!$B$7,IF(H43&lt;2.2,CONFIG!$B$8,CONFIG!$B$9))))),"NO APTO",IF(V43&lt;CONFIG!$B$10,"NO APTO",IF(AND(W43&gt;=CONFIG!$B$11,R43&gt;=CONFIG!$B$13),"ALERTA FUERTE",IF(AND(W43&gt;=CONFIG!$B$12,R43&gt;=CONFIG!$B$13),"ALERTA MEDIA","NO APTO"))))))</f>
        <v/>
      </c>
      <c r="Z43" s="2">
        <f>IF(Y43="","",IF(Y43="NO APTO","Revisar cuota/probabilidad/EV/puntuación/muestra",IF(Y43="ALERTA FUERTE","Cumple filtros de cuota + probabilidad + EV + confianza + muestra","Cumple filtros, pero confianza inferior a FUERTE")))</f>
        <v/>
      </c>
    </row>
    <row r="44">
      <c r="A44" s="2">
        <f>IF(E44="","",ROW()-1)</f>
        <v/>
      </c>
      <c r="B44" s="2" t="inlineStr">
        <is>
          <t>2026-08-19</t>
        </is>
      </c>
      <c r="C44" s="2" t="inlineStr">
        <is>
          <t>05:00</t>
        </is>
      </c>
      <c r="D44" s="2" t="inlineStr">
        <is>
          <t>Emperor Cup</t>
        </is>
      </c>
      <c r="E44" s="2" t="inlineStr">
        <is>
          <t>Verspah Oita vs Kochi United</t>
        </is>
      </c>
      <c r="F44" s="2" t="inlineStr">
        <is>
          <t>PENDIENTE</t>
        </is>
      </c>
      <c r="G44" s="2" t="inlineStr">
        <is>
          <t>SELECCIONAR MERCADO</t>
        </is>
      </c>
      <c r="H44" s="6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2" t="n"/>
      <c r="S44" s="7" t="n"/>
      <c r="T44" s="7">
        <f>IFERROR(1/H44,"")</f>
        <v/>
      </c>
      <c r="U44" s="7">
        <f>IF(OR(S44="",T44=""),"",S44-T44)</f>
        <v/>
      </c>
      <c r="V44" s="7">
        <f>IF(OR(S44="",H44=""),"",S44*H44-1)</f>
        <v/>
      </c>
      <c r="W44" s="2">
        <f>IF(E44="","",ROUND(100*(0.22*I44+0.18*J44+0.18*K44+0.10*L44+0.08*M44+0.06*N44+0.06*O44+0.04*P44+0.04*Q44+0.04*MIN(R44/10,1)),0))</f>
        <v/>
      </c>
      <c r="X44" s="2">
        <f>IF(W44="","",IF(W44&gt;=CONFIG!$B$11,"FUERTE",IF(W44&gt;=CONFIG!$B$12,"MEDIA","BAJA")))</f>
        <v/>
      </c>
      <c r="Y44" s="2">
        <f>IF(OR(H44="",S44=""),"",IF(OR(H44&lt;CONFIG!$B$2,H44&gt;CONFIG!$B$3),"NO APTO",IF(S44&lt;IF(H44&lt;1.6,CONFIG!$B$4,IF(H44&lt;1.7,CONFIG!$B$5,IF(H44&lt;1.8,CONFIG!$B$6,IF(H44&lt;2,CONFIG!$B$7,IF(H44&lt;2.2,CONFIG!$B$8,CONFIG!$B$9))))),"NO APTO",IF(V44&lt;CONFIG!$B$10,"NO APTO",IF(AND(W44&gt;=CONFIG!$B$11,R44&gt;=CONFIG!$B$13),"ALERTA FUERTE",IF(AND(W44&gt;=CONFIG!$B$12,R44&gt;=CONFIG!$B$13),"ALERTA MEDIA","NO APTO"))))))</f>
        <v/>
      </c>
      <c r="Z44" s="2">
        <f>IF(Y44="","",IF(Y44="NO APTO","Revisar cuota/probabilidad/EV/puntuación/muestra",IF(Y44="ALERTA FUERTE","Cumple filtros de cuota + probabilidad + EV + confianza + muestra","Cumple filtros, pero confianza inferior a FUERTE")))</f>
        <v/>
      </c>
    </row>
    <row r="45">
      <c r="A45" s="2">
        <f>IF(E45="","",ROW()-1)</f>
        <v/>
      </c>
      <c r="B45" s="2" t="inlineStr">
        <is>
          <t>2026-08-19</t>
        </is>
      </c>
      <c r="C45" s="2" t="inlineStr">
        <is>
          <t>05:00</t>
        </is>
      </c>
      <c r="D45" s="2" t="inlineStr">
        <is>
          <t>Emperor Cup</t>
        </is>
      </c>
      <c r="E45" s="2" t="inlineStr">
        <is>
          <t>Yamanashi Gakuin vs Tokyo Int. University</t>
        </is>
      </c>
      <c r="F45" s="2" t="inlineStr">
        <is>
          <t>PENDIENTE</t>
        </is>
      </c>
      <c r="G45" s="2" t="inlineStr">
        <is>
          <t>SELECCIONAR MERCADO</t>
        </is>
      </c>
      <c r="H45" s="6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2" t="n"/>
      <c r="S45" s="7" t="n"/>
      <c r="T45" s="7">
        <f>IFERROR(1/H45,"")</f>
        <v/>
      </c>
      <c r="U45" s="7">
        <f>IF(OR(S45="",T45=""),"",S45-T45)</f>
        <v/>
      </c>
      <c r="V45" s="7">
        <f>IF(OR(S45="",H45=""),"",S45*H45-1)</f>
        <v/>
      </c>
      <c r="W45" s="2">
        <f>IF(E45="","",ROUND(100*(0.22*I45+0.18*J45+0.18*K45+0.10*L45+0.08*M45+0.06*N45+0.06*O45+0.04*P45+0.04*Q45+0.04*MIN(R45/10,1)),0))</f>
        <v/>
      </c>
      <c r="X45" s="2">
        <f>IF(W45="","",IF(W45&gt;=CONFIG!$B$11,"FUERTE",IF(W45&gt;=CONFIG!$B$12,"MEDIA","BAJA")))</f>
        <v/>
      </c>
      <c r="Y45" s="2">
        <f>IF(OR(H45="",S45=""),"",IF(OR(H45&lt;CONFIG!$B$2,H45&gt;CONFIG!$B$3),"NO APTO",IF(S45&lt;IF(H45&lt;1.6,CONFIG!$B$4,IF(H45&lt;1.7,CONFIG!$B$5,IF(H45&lt;1.8,CONFIG!$B$6,IF(H45&lt;2,CONFIG!$B$7,IF(H45&lt;2.2,CONFIG!$B$8,CONFIG!$B$9))))),"NO APTO",IF(V45&lt;CONFIG!$B$10,"NO APTO",IF(AND(W45&gt;=CONFIG!$B$11,R45&gt;=CONFIG!$B$13),"ALERTA FUERTE",IF(AND(W45&gt;=CONFIG!$B$12,R45&gt;=CONFIG!$B$13),"ALERTA MEDIA","NO APTO"))))))</f>
        <v/>
      </c>
      <c r="Z45" s="2">
        <f>IF(Y45="","",IF(Y45="NO APTO","Revisar cuota/probabilidad/EV/puntuación/muestra",IF(Y45="ALERTA FUERTE","Cumple filtros de cuota + probabilidad + EV + confianza + muestra","Cumple filtros, pero confianza inferior a FUERTE")))</f>
        <v/>
      </c>
    </row>
    <row r="46">
      <c r="A46" s="2">
        <f>IF(E46="","",ROW()-1)</f>
        <v/>
      </c>
      <c r="B46" s="2" t="inlineStr">
        <is>
          <t>2026-08-19</t>
        </is>
      </c>
      <c r="C46" s="2" t="inlineStr">
        <is>
          <t>05:15</t>
        </is>
      </c>
      <c r="D46" s="2" t="inlineStr">
        <is>
          <t>Friendlies Clubs</t>
        </is>
      </c>
      <c r="E46" s="2" t="inlineStr">
        <is>
          <t>Long An vs Binh Duong</t>
        </is>
      </c>
      <c r="F46" s="2" t="inlineStr">
        <is>
          <t>PENDIENTE</t>
        </is>
      </c>
      <c r="G46" s="2" t="inlineStr">
        <is>
          <t>SELECCIONAR MERCADO</t>
        </is>
      </c>
      <c r="H46" s="6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2" t="n"/>
      <c r="S46" s="7" t="n"/>
      <c r="T46" s="7">
        <f>IFERROR(1/H46,"")</f>
        <v/>
      </c>
      <c r="U46" s="7">
        <f>IF(OR(S46="",T46=""),"",S46-T46)</f>
        <v/>
      </c>
      <c r="V46" s="7">
        <f>IF(OR(S46="",H46=""),"",S46*H46-1)</f>
        <v/>
      </c>
      <c r="W46" s="2">
        <f>IF(E46="","",ROUND(100*(0.22*I46+0.18*J46+0.18*K46+0.10*L46+0.08*M46+0.06*N46+0.06*O46+0.04*P46+0.04*Q46+0.04*MIN(R46/10,1)),0))</f>
        <v/>
      </c>
      <c r="X46" s="2">
        <f>IF(W46="","",IF(W46&gt;=CONFIG!$B$11,"FUERTE",IF(W46&gt;=CONFIG!$B$12,"MEDIA","BAJA")))</f>
        <v/>
      </c>
      <c r="Y46" s="2">
        <f>IF(OR(H46="",S46=""),"",IF(OR(H46&lt;CONFIG!$B$2,H46&gt;CONFIG!$B$3),"NO APTO",IF(S46&lt;IF(H46&lt;1.6,CONFIG!$B$4,IF(H46&lt;1.7,CONFIG!$B$5,IF(H46&lt;1.8,CONFIG!$B$6,IF(H46&lt;2,CONFIG!$B$7,IF(H46&lt;2.2,CONFIG!$B$8,CONFIG!$B$9))))),"NO APTO",IF(V46&lt;CONFIG!$B$10,"NO APTO",IF(AND(W46&gt;=CONFIG!$B$11,R46&gt;=CONFIG!$B$13),"ALERTA FUERTE",IF(AND(W46&gt;=CONFIG!$B$12,R46&gt;=CONFIG!$B$13),"ALERTA MEDIA","NO APTO"))))))</f>
        <v/>
      </c>
      <c r="Z46" s="2">
        <f>IF(Y46="","",IF(Y46="NO APTO","Revisar cuota/probabilidad/EV/puntuación/muestra",IF(Y46="ALERTA FUERTE","Cumple filtros de cuota + probabilidad + EV + confianza + muestra","Cumple filtros, pero confianza inferior a FUERTE")))</f>
        <v/>
      </c>
    </row>
    <row r="47">
      <c r="A47" s="2">
        <f>IF(E47="","",ROW()-1)</f>
        <v/>
      </c>
      <c r="B47" s="2" t="inlineStr">
        <is>
          <t>2026-08-19</t>
        </is>
      </c>
      <c r="C47" s="2" t="inlineStr">
        <is>
          <t>05:30</t>
        </is>
      </c>
      <c r="D47" s="2" t="inlineStr">
        <is>
          <t>Victoria NPL</t>
        </is>
      </c>
      <c r="E47" s="2" t="inlineStr">
        <is>
          <t>Preston Lions vs Melbourne City II</t>
        </is>
      </c>
      <c r="F47" s="2" t="inlineStr">
        <is>
          <t>PENDIENTE</t>
        </is>
      </c>
      <c r="G47" s="2" t="inlineStr">
        <is>
          <t>SELECCIONAR MERCADO</t>
        </is>
      </c>
      <c r="H47" s="6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2" t="n"/>
      <c r="S47" s="7" t="n"/>
      <c r="T47" s="7">
        <f>IFERROR(1/H47,"")</f>
        <v/>
      </c>
      <c r="U47" s="7">
        <f>IF(OR(S47="",T47=""),"",S47-T47)</f>
        <v/>
      </c>
      <c r="V47" s="7">
        <f>IF(OR(S47="",H47=""),"",S47*H47-1)</f>
        <v/>
      </c>
      <c r="W47" s="2">
        <f>IF(E47="","",ROUND(100*(0.22*I47+0.18*J47+0.18*K47+0.10*L47+0.08*M47+0.06*N47+0.06*O47+0.04*P47+0.04*Q47+0.04*MIN(R47/10,1)),0))</f>
        <v/>
      </c>
      <c r="X47" s="2">
        <f>IF(W47="","",IF(W47&gt;=CONFIG!$B$11,"FUERTE",IF(W47&gt;=CONFIG!$B$12,"MEDIA","BAJA")))</f>
        <v/>
      </c>
      <c r="Y47" s="2">
        <f>IF(OR(H47="",S47=""),"",IF(OR(H47&lt;CONFIG!$B$2,H47&gt;CONFIG!$B$3),"NO APTO",IF(S47&lt;IF(H47&lt;1.6,CONFIG!$B$4,IF(H47&lt;1.7,CONFIG!$B$5,IF(H47&lt;1.8,CONFIG!$B$6,IF(H47&lt;2,CONFIG!$B$7,IF(H47&lt;2.2,CONFIG!$B$8,CONFIG!$B$9))))),"NO APTO",IF(V47&lt;CONFIG!$B$10,"NO APTO",IF(AND(W47&gt;=CONFIG!$B$11,R47&gt;=CONFIG!$B$13),"ALERTA FUERTE",IF(AND(W47&gt;=CONFIG!$B$12,R47&gt;=CONFIG!$B$13),"ALERTA MEDIA","NO APTO"))))))</f>
        <v/>
      </c>
      <c r="Z47" s="2">
        <f>IF(Y47="","",IF(Y47="NO APTO","Revisar cuota/probabilidad/EV/puntuación/muestra",IF(Y47="ALERTA FUERTE","Cumple filtros de cuota + probabilidad + EV + confianza + muestra","Cumple filtros, pero confianza inferior a FUERTE")))</f>
        <v/>
      </c>
    </row>
    <row r="48">
      <c r="A48" s="2">
        <f>IF(E48="","",ROW()-1)</f>
        <v/>
      </c>
      <c r="B48" s="2" t="inlineStr">
        <is>
          <t>2026-08-19</t>
        </is>
      </c>
      <c r="C48" s="2" t="inlineStr">
        <is>
          <t>05:30</t>
        </is>
      </c>
      <c r="D48" s="2" t="inlineStr">
        <is>
          <t>FA Cup</t>
        </is>
      </c>
      <c r="E48" s="2" t="inlineStr">
        <is>
          <t>FC Anyang vs Jeju United FC</t>
        </is>
      </c>
      <c r="F48" s="2" t="inlineStr">
        <is>
          <t>PENDIENTE</t>
        </is>
      </c>
      <c r="G48" s="2" t="inlineStr">
        <is>
          <t>SELECCIONAR MERCADO</t>
        </is>
      </c>
      <c r="H48" s="6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2" t="n"/>
      <c r="S48" s="7" t="n"/>
      <c r="T48" s="7">
        <f>IFERROR(1/H48,"")</f>
        <v/>
      </c>
      <c r="U48" s="7">
        <f>IF(OR(S48="",T48=""),"",S48-T48)</f>
        <v/>
      </c>
      <c r="V48" s="7">
        <f>IF(OR(S48="",H48=""),"",S48*H48-1)</f>
        <v/>
      </c>
      <c r="W48" s="2">
        <f>IF(E48="","",ROUND(100*(0.22*I48+0.18*J48+0.18*K48+0.10*L48+0.08*M48+0.06*N48+0.06*O48+0.04*P48+0.04*Q48+0.04*MIN(R48/10,1)),0))</f>
        <v/>
      </c>
      <c r="X48" s="2">
        <f>IF(W48="","",IF(W48&gt;=CONFIG!$B$11,"FUERTE",IF(W48&gt;=CONFIG!$B$12,"MEDIA","BAJA")))</f>
        <v/>
      </c>
      <c r="Y48" s="2">
        <f>IF(OR(H48="",S48=""),"",IF(OR(H48&lt;CONFIG!$B$2,H48&gt;CONFIG!$B$3),"NO APTO",IF(S48&lt;IF(H48&lt;1.6,CONFIG!$B$4,IF(H48&lt;1.7,CONFIG!$B$5,IF(H48&lt;1.8,CONFIG!$B$6,IF(H48&lt;2,CONFIG!$B$7,IF(H48&lt;2.2,CONFIG!$B$8,CONFIG!$B$9))))),"NO APTO",IF(V48&lt;CONFIG!$B$10,"NO APTO",IF(AND(W48&gt;=CONFIG!$B$11,R48&gt;=CONFIG!$B$13),"ALERTA FUERTE",IF(AND(W48&gt;=CONFIG!$B$12,R48&gt;=CONFIG!$B$13),"ALERTA MEDIA","NO APTO"))))))</f>
        <v/>
      </c>
      <c r="Z48" s="2">
        <f>IF(Y48="","",IF(Y48="NO APTO","Revisar cuota/probabilidad/EV/puntuación/muestra",IF(Y48="ALERTA FUERTE","Cumple filtros de cuota + probabilidad + EV + confianza + muestra","Cumple filtros, pero confianza inferior a FUERTE")))</f>
        <v/>
      </c>
    </row>
    <row r="49">
      <c r="A49" s="2">
        <f>IF(E49="","",ROW()-1)</f>
        <v/>
      </c>
      <c r="B49" s="2" t="inlineStr">
        <is>
          <t>2026-08-19</t>
        </is>
      </c>
      <c r="C49" s="2" t="inlineStr">
        <is>
          <t>05:30</t>
        </is>
      </c>
      <c r="D49" s="2" t="inlineStr">
        <is>
          <t>FA Cup</t>
        </is>
      </c>
      <c r="E49" s="2" t="inlineStr">
        <is>
          <t>Busan I Park vs Bucheon FC 1995</t>
        </is>
      </c>
      <c r="F49" s="2" t="inlineStr">
        <is>
          <t>PENDIENTE</t>
        </is>
      </c>
      <c r="G49" s="2" t="inlineStr">
        <is>
          <t>SELECCIONAR MERCADO</t>
        </is>
      </c>
      <c r="H49" s="6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2" t="n"/>
      <c r="S49" s="7" t="n"/>
      <c r="T49" s="7">
        <f>IFERROR(1/H49,"")</f>
        <v/>
      </c>
      <c r="U49" s="7">
        <f>IF(OR(S49="",T49=""),"",S49-T49)</f>
        <v/>
      </c>
      <c r="V49" s="7">
        <f>IF(OR(S49="",H49=""),"",S49*H49-1)</f>
        <v/>
      </c>
      <c r="W49" s="2">
        <f>IF(E49="","",ROUND(100*(0.22*I49+0.18*J49+0.18*K49+0.10*L49+0.08*M49+0.06*N49+0.06*O49+0.04*P49+0.04*Q49+0.04*MIN(R49/10,1)),0))</f>
        <v/>
      </c>
      <c r="X49" s="2">
        <f>IF(W49="","",IF(W49&gt;=CONFIG!$B$11,"FUERTE",IF(W49&gt;=CONFIG!$B$12,"MEDIA","BAJA")))</f>
        <v/>
      </c>
      <c r="Y49" s="2">
        <f>IF(OR(H49="",S49=""),"",IF(OR(H49&lt;CONFIG!$B$2,H49&gt;CONFIG!$B$3),"NO APTO",IF(S49&lt;IF(H49&lt;1.6,CONFIG!$B$4,IF(H49&lt;1.7,CONFIG!$B$5,IF(H49&lt;1.8,CONFIG!$B$6,IF(H49&lt;2,CONFIG!$B$7,IF(H49&lt;2.2,CONFIG!$B$8,CONFIG!$B$9))))),"NO APTO",IF(V49&lt;CONFIG!$B$10,"NO APTO",IF(AND(W49&gt;=CONFIG!$B$11,R49&gt;=CONFIG!$B$13),"ALERTA FUERTE",IF(AND(W49&gt;=CONFIG!$B$12,R49&gt;=CONFIG!$B$13),"ALERTA MEDIA","NO APTO"))))))</f>
        <v/>
      </c>
      <c r="Z49" s="2">
        <f>IF(Y49="","",IF(Y49="NO APTO","Revisar cuota/probabilidad/EV/puntuación/muestra",IF(Y49="ALERTA FUERTE","Cumple filtros de cuota + probabilidad + EV + confianza + muestra","Cumple filtros, pero confianza inferior a FUERTE")))</f>
        <v/>
      </c>
    </row>
    <row r="50">
      <c r="A50" s="2">
        <f>IF(E50="","",ROW()-1)</f>
        <v/>
      </c>
      <c r="B50" s="2" t="inlineStr">
        <is>
          <t>2026-08-19</t>
        </is>
      </c>
      <c r="C50" s="2" t="inlineStr">
        <is>
          <t>05:30</t>
        </is>
      </c>
      <c r="D50" s="2" t="inlineStr">
        <is>
          <t>FA Cup</t>
        </is>
      </c>
      <c r="E50" s="2" t="inlineStr">
        <is>
          <t>Gangwon FC vs Seongnam FC</t>
        </is>
      </c>
      <c r="F50" s="2" t="inlineStr">
        <is>
          <t>PENDIENTE</t>
        </is>
      </c>
      <c r="G50" s="2" t="inlineStr">
        <is>
          <t>SELECCIONAR MERCADO</t>
        </is>
      </c>
      <c r="H50" s="6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2" t="n"/>
      <c r="S50" s="7" t="n"/>
      <c r="T50" s="7">
        <f>IFERROR(1/H50,"")</f>
        <v/>
      </c>
      <c r="U50" s="7">
        <f>IF(OR(S50="",T50=""),"",S50-T50)</f>
        <v/>
      </c>
      <c r="V50" s="7">
        <f>IF(OR(S50="",H50=""),"",S50*H50-1)</f>
        <v/>
      </c>
      <c r="W50" s="2">
        <f>IF(E50="","",ROUND(100*(0.22*I50+0.18*J50+0.18*K50+0.10*L50+0.08*M50+0.06*N50+0.06*O50+0.04*P50+0.04*Q50+0.04*MIN(R50/10,1)),0))</f>
        <v/>
      </c>
      <c r="X50" s="2">
        <f>IF(W50="","",IF(W50&gt;=CONFIG!$B$11,"FUERTE",IF(W50&gt;=CONFIG!$B$12,"MEDIA","BAJA")))</f>
        <v/>
      </c>
      <c r="Y50" s="2">
        <f>IF(OR(H50="",S50=""),"",IF(OR(H50&lt;CONFIG!$B$2,H50&gt;CONFIG!$B$3),"NO APTO",IF(S50&lt;IF(H50&lt;1.6,CONFIG!$B$4,IF(H50&lt;1.7,CONFIG!$B$5,IF(H50&lt;1.8,CONFIG!$B$6,IF(H50&lt;2,CONFIG!$B$7,IF(H50&lt;2.2,CONFIG!$B$8,CONFIG!$B$9))))),"NO APTO",IF(V50&lt;CONFIG!$B$10,"NO APTO",IF(AND(W50&gt;=CONFIG!$B$11,R50&gt;=CONFIG!$B$13),"ALERTA FUERTE",IF(AND(W50&gt;=CONFIG!$B$12,R50&gt;=CONFIG!$B$13),"ALERTA MEDIA","NO APTO"))))))</f>
        <v/>
      </c>
      <c r="Z50" s="2">
        <f>IF(Y50="","",IF(Y50="NO APTO","Revisar cuota/probabilidad/EV/puntuación/muestra",IF(Y50="ALERTA FUERTE","Cumple filtros de cuota + probabilidad + EV + confianza + muestra","Cumple filtros, pero confianza inferior a FUERTE")))</f>
        <v/>
      </c>
    </row>
    <row r="51">
      <c r="A51" s="2">
        <f>IF(E51="","",ROW()-1)</f>
        <v/>
      </c>
      <c r="B51" s="2" t="inlineStr">
        <is>
          <t>2026-08-19</t>
        </is>
      </c>
      <c r="C51" s="2" t="inlineStr">
        <is>
          <t>06:00</t>
        </is>
      </c>
      <c r="D51" s="2" t="inlineStr">
        <is>
          <t>U19 Bundesliga</t>
        </is>
      </c>
      <c r="E51" s="2" t="inlineStr">
        <is>
          <t>Greuther Fürth U19 vs RB Leipzig U19</t>
        </is>
      </c>
      <c r="F51" s="2" t="inlineStr">
        <is>
          <t>PENDIENTE</t>
        </is>
      </c>
      <c r="G51" s="2" t="inlineStr">
        <is>
          <t>SELECCIONAR MERCADO</t>
        </is>
      </c>
      <c r="H51" s="6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2" t="n"/>
      <c r="S51" s="7" t="n"/>
      <c r="T51" s="7">
        <f>IFERROR(1/H51,"")</f>
        <v/>
      </c>
      <c r="U51" s="7">
        <f>IF(OR(S51="",T51=""),"",S51-T51)</f>
        <v/>
      </c>
      <c r="V51" s="7">
        <f>IF(OR(S51="",H51=""),"",S51*H51-1)</f>
        <v/>
      </c>
      <c r="W51" s="2">
        <f>IF(E51="","",ROUND(100*(0.22*I51+0.18*J51+0.18*K51+0.10*L51+0.08*M51+0.06*N51+0.06*O51+0.04*P51+0.04*Q51+0.04*MIN(R51/10,1)),0))</f>
        <v/>
      </c>
      <c r="X51" s="2">
        <f>IF(W51="","",IF(W51&gt;=CONFIG!$B$11,"FUERTE",IF(W51&gt;=CONFIG!$B$12,"MEDIA","BAJA")))</f>
        <v/>
      </c>
      <c r="Y51" s="2">
        <f>IF(OR(H51="",S51=""),"",IF(OR(H51&lt;CONFIG!$B$2,H51&gt;CONFIG!$B$3),"NO APTO",IF(S51&lt;IF(H51&lt;1.6,CONFIG!$B$4,IF(H51&lt;1.7,CONFIG!$B$5,IF(H51&lt;1.8,CONFIG!$B$6,IF(H51&lt;2,CONFIG!$B$7,IF(H51&lt;2.2,CONFIG!$B$8,CONFIG!$B$9))))),"NO APTO",IF(V51&lt;CONFIG!$B$10,"NO APTO",IF(AND(W51&gt;=CONFIG!$B$11,R51&gt;=CONFIG!$B$13),"ALERTA FUERTE",IF(AND(W51&gt;=CONFIG!$B$12,R51&gt;=CONFIG!$B$13),"ALERTA MEDIA","NO APTO"))))))</f>
        <v/>
      </c>
      <c r="Z51" s="2">
        <f>IF(Y51="","",IF(Y51="NO APTO","Revisar cuota/probabilidad/EV/puntuación/muestra",IF(Y51="ALERTA FUERTE","Cumple filtros de cuota + probabilidad + EV + confianza + muestra","Cumple filtros, pero confianza inferior a FUERTE")))</f>
        <v/>
      </c>
    </row>
    <row r="52">
      <c r="A52" s="2">
        <f>IF(E52="","",ROW()-1)</f>
        <v/>
      </c>
      <c r="B52" s="2" t="inlineStr">
        <is>
          <t>2026-08-19</t>
        </is>
      </c>
      <c r="C52" s="2" t="inlineStr">
        <is>
          <t>06:00</t>
        </is>
      </c>
      <c r="D52" s="2" t="inlineStr">
        <is>
          <t>U19 Bundesliga</t>
        </is>
      </c>
      <c r="E52" s="2" t="inlineStr">
        <is>
          <t>Heidenheim U19 vs Stuttgarter K'rs U19</t>
        </is>
      </c>
      <c r="F52" s="2" t="inlineStr">
        <is>
          <t>PENDIENTE</t>
        </is>
      </c>
      <c r="G52" s="2" t="inlineStr">
        <is>
          <t>SELECCIONAR MERCADO</t>
        </is>
      </c>
      <c r="H52" s="6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2" t="n"/>
      <c r="S52" s="7" t="n"/>
      <c r="T52" s="7">
        <f>IFERROR(1/H52,"")</f>
        <v/>
      </c>
      <c r="U52" s="7">
        <f>IF(OR(S52="",T52=""),"",S52-T52)</f>
        <v/>
      </c>
      <c r="V52" s="7">
        <f>IF(OR(S52="",H52=""),"",S52*H52-1)</f>
        <v/>
      </c>
      <c r="W52" s="2">
        <f>IF(E52="","",ROUND(100*(0.22*I52+0.18*J52+0.18*K52+0.10*L52+0.08*M52+0.06*N52+0.06*O52+0.04*P52+0.04*Q52+0.04*MIN(R52/10,1)),0))</f>
        <v/>
      </c>
      <c r="X52" s="2">
        <f>IF(W52="","",IF(W52&gt;=CONFIG!$B$11,"FUERTE",IF(W52&gt;=CONFIG!$B$12,"MEDIA","BAJA")))</f>
        <v/>
      </c>
      <c r="Y52" s="2">
        <f>IF(OR(H52="",S52=""),"",IF(OR(H52&lt;CONFIG!$B$2,H52&gt;CONFIG!$B$3),"NO APTO",IF(S52&lt;IF(H52&lt;1.6,CONFIG!$B$4,IF(H52&lt;1.7,CONFIG!$B$5,IF(H52&lt;1.8,CONFIG!$B$6,IF(H52&lt;2,CONFIG!$B$7,IF(H52&lt;2.2,CONFIG!$B$8,CONFIG!$B$9))))),"NO APTO",IF(V52&lt;CONFIG!$B$10,"NO APTO",IF(AND(W52&gt;=CONFIG!$B$11,R52&gt;=CONFIG!$B$13),"ALERTA FUERTE",IF(AND(W52&gt;=CONFIG!$B$12,R52&gt;=CONFIG!$B$13),"ALERTA MEDIA","NO APTO"))))))</f>
        <v/>
      </c>
      <c r="Z52" s="2">
        <f>IF(Y52="","",IF(Y52="NO APTO","Revisar cuota/probabilidad/EV/puntuación/muestra",IF(Y52="ALERTA FUERTE","Cumple filtros de cuota + probabilidad + EV + confianza + muestra","Cumple filtros, pero confianza inferior a FUERTE")))</f>
        <v/>
      </c>
    </row>
    <row r="53">
      <c r="A53" s="2">
        <f>IF(E53="","",ROW()-1)</f>
        <v/>
      </c>
      <c r="B53" s="2" t="inlineStr">
        <is>
          <t>2026-08-19</t>
        </is>
      </c>
      <c r="C53" s="2" t="inlineStr">
        <is>
          <t>06:00</t>
        </is>
      </c>
      <c r="D53" s="2" t="inlineStr">
        <is>
          <t>U19 Bundesliga</t>
        </is>
      </c>
      <c r="E53" s="2" t="inlineStr">
        <is>
          <t>Karlsruher SC U19 vs Freiburg U19</t>
        </is>
      </c>
      <c r="F53" s="2" t="inlineStr">
        <is>
          <t>PENDIENTE</t>
        </is>
      </c>
      <c r="G53" s="2" t="inlineStr">
        <is>
          <t>SELECCIONAR MERCADO</t>
        </is>
      </c>
      <c r="H53" s="6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2" t="n"/>
      <c r="S53" s="7" t="n"/>
      <c r="T53" s="7">
        <f>IFERROR(1/H53,"")</f>
        <v/>
      </c>
      <c r="U53" s="7">
        <f>IF(OR(S53="",T53=""),"",S53-T53)</f>
        <v/>
      </c>
      <c r="V53" s="7">
        <f>IF(OR(S53="",H53=""),"",S53*H53-1)</f>
        <v/>
      </c>
      <c r="W53" s="2">
        <f>IF(E53="","",ROUND(100*(0.22*I53+0.18*J53+0.18*K53+0.10*L53+0.08*M53+0.06*N53+0.06*O53+0.04*P53+0.04*Q53+0.04*MIN(R53/10,1)),0))</f>
        <v/>
      </c>
      <c r="X53" s="2">
        <f>IF(W53="","",IF(W53&gt;=CONFIG!$B$11,"FUERTE",IF(W53&gt;=CONFIG!$B$12,"MEDIA","BAJA")))</f>
        <v/>
      </c>
      <c r="Y53" s="2">
        <f>IF(OR(H53="",S53=""),"",IF(OR(H53&lt;CONFIG!$B$2,H53&gt;CONFIG!$B$3),"NO APTO",IF(S53&lt;IF(H53&lt;1.6,CONFIG!$B$4,IF(H53&lt;1.7,CONFIG!$B$5,IF(H53&lt;1.8,CONFIG!$B$6,IF(H53&lt;2,CONFIG!$B$7,IF(H53&lt;2.2,CONFIG!$B$8,CONFIG!$B$9))))),"NO APTO",IF(V53&lt;CONFIG!$B$10,"NO APTO",IF(AND(W53&gt;=CONFIG!$B$11,R53&gt;=CONFIG!$B$13),"ALERTA FUERTE",IF(AND(W53&gt;=CONFIG!$B$12,R53&gt;=CONFIG!$B$13),"ALERTA MEDIA","NO APTO"))))))</f>
        <v/>
      </c>
      <c r="Z53" s="2">
        <f>IF(Y53="","",IF(Y53="NO APTO","Revisar cuota/probabilidad/EV/puntuación/muestra",IF(Y53="ALERTA FUERTE","Cumple filtros de cuota + probabilidad + EV + confianza + muestra","Cumple filtros, pero confianza inferior a FUERTE")))</f>
        <v/>
      </c>
    </row>
    <row r="54">
      <c r="A54" s="2">
        <f>IF(E54="","",ROW()-1)</f>
        <v/>
      </c>
      <c r="B54" s="2" t="inlineStr">
        <is>
          <t>2026-08-19</t>
        </is>
      </c>
      <c r="C54" s="2" t="inlineStr">
        <is>
          <t>06:00</t>
        </is>
      </c>
      <c r="D54" s="2" t="inlineStr">
        <is>
          <t>Ligi kuu Bara</t>
        </is>
      </c>
      <c r="E54" s="2" t="inlineStr">
        <is>
          <t>Mbeya City vs Dodoma Jiji</t>
        </is>
      </c>
      <c r="F54" s="2" t="inlineStr">
        <is>
          <t>PENDIENTE</t>
        </is>
      </c>
      <c r="G54" s="2" t="inlineStr">
        <is>
          <t>SELECCIONAR MERCADO</t>
        </is>
      </c>
      <c r="H54" s="6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2" t="n"/>
      <c r="S54" s="7" t="n"/>
      <c r="T54" s="7">
        <f>IFERROR(1/H54,"")</f>
        <v/>
      </c>
      <c r="U54" s="7">
        <f>IF(OR(S54="",T54=""),"",S54-T54)</f>
        <v/>
      </c>
      <c r="V54" s="7">
        <f>IF(OR(S54="",H54=""),"",S54*H54-1)</f>
        <v/>
      </c>
      <c r="W54" s="2">
        <f>IF(E54="","",ROUND(100*(0.22*I54+0.18*J54+0.18*K54+0.10*L54+0.08*M54+0.06*N54+0.06*O54+0.04*P54+0.04*Q54+0.04*MIN(R54/10,1)),0))</f>
        <v/>
      </c>
      <c r="X54" s="2">
        <f>IF(W54="","",IF(W54&gt;=CONFIG!$B$11,"FUERTE",IF(W54&gt;=CONFIG!$B$12,"MEDIA","BAJA")))</f>
        <v/>
      </c>
      <c r="Y54" s="2">
        <f>IF(OR(H54="",S54=""),"",IF(OR(H54&lt;CONFIG!$B$2,H54&gt;CONFIG!$B$3),"NO APTO",IF(S54&lt;IF(H54&lt;1.6,CONFIG!$B$4,IF(H54&lt;1.7,CONFIG!$B$5,IF(H54&lt;1.8,CONFIG!$B$6,IF(H54&lt;2,CONFIG!$B$7,IF(H54&lt;2.2,CONFIG!$B$8,CONFIG!$B$9))))),"NO APTO",IF(V54&lt;CONFIG!$B$10,"NO APTO",IF(AND(W54&gt;=CONFIG!$B$11,R54&gt;=CONFIG!$B$13),"ALERTA FUERTE",IF(AND(W54&gt;=CONFIG!$B$12,R54&gt;=CONFIG!$B$13),"ALERTA MEDIA","NO APTO"))))))</f>
        <v/>
      </c>
      <c r="Z54" s="2">
        <f>IF(Y54="","",IF(Y54="NO APTO","Revisar cuota/probabilidad/EV/puntuación/muestra",IF(Y54="ALERTA FUERTE","Cumple filtros de cuota + probabilidad + EV + confianza + muestra","Cumple filtros, pero confianza inferior a FUERTE")))</f>
        <v/>
      </c>
    </row>
    <row r="55">
      <c r="A55" s="2">
        <f>IF(E55="","",ROW()-1)</f>
        <v/>
      </c>
      <c r="B55" s="2" t="inlineStr">
        <is>
          <t>2026-08-19</t>
        </is>
      </c>
      <c r="C55" s="2" t="inlineStr">
        <is>
          <t>06:00</t>
        </is>
      </c>
      <c r="D55" s="2" t="inlineStr">
        <is>
          <t>Friendlies Clubs</t>
        </is>
      </c>
      <c r="E55" s="2" t="inlineStr">
        <is>
          <t>Oud-Heverlee Leuven II vs KRC Genk II</t>
        </is>
      </c>
      <c r="F55" s="2" t="inlineStr">
        <is>
          <t>PENDIENTE</t>
        </is>
      </c>
      <c r="G55" s="2" t="inlineStr">
        <is>
          <t>SELECCIONAR MERCADO</t>
        </is>
      </c>
      <c r="H55" s="6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2" t="n"/>
      <c r="S55" s="7" t="n"/>
      <c r="T55" s="7">
        <f>IFERROR(1/H55,"")</f>
        <v/>
      </c>
      <c r="U55" s="7">
        <f>IF(OR(S55="",T55=""),"",S55-T55)</f>
        <v/>
      </c>
      <c r="V55" s="7">
        <f>IF(OR(S55="",H55=""),"",S55*H55-1)</f>
        <v/>
      </c>
      <c r="W55" s="2">
        <f>IF(E55="","",ROUND(100*(0.22*I55+0.18*J55+0.18*K55+0.10*L55+0.08*M55+0.06*N55+0.06*O55+0.04*P55+0.04*Q55+0.04*MIN(R55/10,1)),0))</f>
        <v/>
      </c>
      <c r="X55" s="2">
        <f>IF(W55="","",IF(W55&gt;=CONFIG!$B$11,"FUERTE",IF(W55&gt;=CONFIG!$B$12,"MEDIA","BAJA")))</f>
        <v/>
      </c>
      <c r="Y55" s="2">
        <f>IF(OR(H55="",S55=""),"",IF(OR(H55&lt;CONFIG!$B$2,H55&gt;CONFIG!$B$3),"NO APTO",IF(S55&lt;IF(H55&lt;1.6,CONFIG!$B$4,IF(H55&lt;1.7,CONFIG!$B$5,IF(H55&lt;1.8,CONFIG!$B$6,IF(H55&lt;2,CONFIG!$B$7,IF(H55&lt;2.2,CONFIG!$B$8,CONFIG!$B$9))))),"NO APTO",IF(V55&lt;CONFIG!$B$10,"NO APTO",IF(AND(W55&gt;=CONFIG!$B$11,R55&gt;=CONFIG!$B$13),"ALERTA FUERTE",IF(AND(W55&gt;=CONFIG!$B$12,R55&gt;=CONFIG!$B$13),"ALERTA MEDIA","NO APTO"))))))</f>
        <v/>
      </c>
      <c r="Z55" s="2">
        <f>IF(Y55="","",IF(Y55="NO APTO","Revisar cuota/probabilidad/EV/puntuación/muestra",IF(Y55="ALERTA FUERTE","Cumple filtros de cuota + probabilidad + EV + confianza + muestra","Cumple filtros, pero confianza inferior a FUERTE")))</f>
        <v/>
      </c>
    </row>
    <row r="56">
      <c r="A56" s="2">
        <f>IF(E56="","",ROW()-1)</f>
        <v/>
      </c>
      <c r="B56" s="2" t="inlineStr">
        <is>
          <t>2026-08-19</t>
        </is>
      </c>
      <c r="C56" s="2" t="inlineStr">
        <is>
          <t>06:00</t>
        </is>
      </c>
      <c r="D56" s="2" t="inlineStr">
        <is>
          <t>U19 League</t>
        </is>
      </c>
      <c r="E56" s="2" t="inlineStr">
        <is>
          <t>Kolos Kovalivka U19 vs Oleksandria U19</t>
        </is>
      </c>
      <c r="F56" s="2" t="inlineStr">
        <is>
          <t>PENDIENTE</t>
        </is>
      </c>
      <c r="G56" s="2" t="inlineStr">
        <is>
          <t>SELECCIONAR MERCADO</t>
        </is>
      </c>
      <c r="H56" s="6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2" t="n"/>
      <c r="S56" s="7" t="n"/>
      <c r="T56" s="7">
        <f>IFERROR(1/H56,"")</f>
        <v/>
      </c>
      <c r="U56" s="7">
        <f>IF(OR(S56="",T56=""),"",S56-T56)</f>
        <v/>
      </c>
      <c r="V56" s="7">
        <f>IF(OR(S56="",H56=""),"",S56*H56-1)</f>
        <v/>
      </c>
      <c r="W56" s="2">
        <f>IF(E56="","",ROUND(100*(0.22*I56+0.18*J56+0.18*K56+0.10*L56+0.08*M56+0.06*N56+0.06*O56+0.04*P56+0.04*Q56+0.04*MIN(R56/10,1)),0))</f>
        <v/>
      </c>
      <c r="X56" s="2">
        <f>IF(W56="","",IF(W56&gt;=CONFIG!$B$11,"FUERTE",IF(W56&gt;=CONFIG!$B$12,"MEDIA","BAJA")))</f>
        <v/>
      </c>
      <c r="Y56" s="2">
        <f>IF(OR(H56="",S56=""),"",IF(OR(H56&lt;CONFIG!$B$2,H56&gt;CONFIG!$B$3),"NO APTO",IF(S56&lt;IF(H56&lt;1.6,CONFIG!$B$4,IF(H56&lt;1.7,CONFIG!$B$5,IF(H56&lt;1.8,CONFIG!$B$6,IF(H56&lt;2,CONFIG!$B$7,IF(H56&lt;2.2,CONFIG!$B$8,CONFIG!$B$9))))),"NO APTO",IF(V56&lt;CONFIG!$B$10,"NO APTO",IF(AND(W56&gt;=CONFIG!$B$11,R56&gt;=CONFIG!$B$13),"ALERTA FUERTE",IF(AND(W56&gt;=CONFIG!$B$12,R56&gt;=CONFIG!$B$13),"ALERTA MEDIA","NO APTO"))))))</f>
        <v/>
      </c>
      <c r="Z56" s="2">
        <f>IF(Y56="","",IF(Y56="NO APTO","Revisar cuota/probabilidad/EV/puntuación/muestra",IF(Y56="ALERTA FUERTE","Cumple filtros de cuota + probabilidad + EV + confianza + muestra","Cumple filtros, pero confianza inferior a FUERTE")))</f>
        <v/>
      </c>
    </row>
    <row r="57">
      <c r="A57" s="2">
        <f>IF(E57="","",ROW()-1)</f>
        <v/>
      </c>
      <c r="B57" s="2" t="inlineStr">
        <is>
          <t>2026-08-19</t>
        </is>
      </c>
      <c r="C57" s="2" t="inlineStr">
        <is>
          <t>06:00</t>
        </is>
      </c>
      <c r="D57" s="2" t="inlineStr">
        <is>
          <t>U19 League</t>
        </is>
      </c>
      <c r="E57" s="2" t="inlineStr">
        <is>
          <t>Zhytomyr U19 vs Shakhtar Donetsk U19</t>
        </is>
      </c>
      <c r="F57" s="2" t="inlineStr">
        <is>
          <t>PENDIENTE</t>
        </is>
      </c>
      <c r="G57" s="2" t="inlineStr">
        <is>
          <t>SELECCIONAR MERCADO</t>
        </is>
      </c>
      <c r="H57" s="6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2" t="n"/>
      <c r="S57" s="7" t="n"/>
      <c r="T57" s="7">
        <f>IFERROR(1/H57,"")</f>
        <v/>
      </c>
      <c r="U57" s="7">
        <f>IF(OR(S57="",T57=""),"",S57-T57)</f>
        <v/>
      </c>
      <c r="V57" s="7">
        <f>IF(OR(S57="",H57=""),"",S57*H57-1)</f>
        <v/>
      </c>
      <c r="W57" s="2">
        <f>IF(E57="","",ROUND(100*(0.22*I57+0.18*J57+0.18*K57+0.10*L57+0.08*M57+0.06*N57+0.06*O57+0.04*P57+0.04*Q57+0.04*MIN(R57/10,1)),0))</f>
        <v/>
      </c>
      <c r="X57" s="2">
        <f>IF(W57="","",IF(W57&gt;=CONFIG!$B$11,"FUERTE",IF(W57&gt;=CONFIG!$B$12,"MEDIA","BAJA")))</f>
        <v/>
      </c>
      <c r="Y57" s="2">
        <f>IF(OR(H57="",S57=""),"",IF(OR(H57&lt;CONFIG!$B$2,H57&gt;CONFIG!$B$3),"NO APTO",IF(S57&lt;IF(H57&lt;1.6,CONFIG!$B$4,IF(H57&lt;1.7,CONFIG!$B$5,IF(H57&lt;1.8,CONFIG!$B$6,IF(H57&lt;2,CONFIG!$B$7,IF(H57&lt;2.2,CONFIG!$B$8,CONFIG!$B$9))))),"NO APTO",IF(V57&lt;CONFIG!$B$10,"NO APTO",IF(AND(W57&gt;=CONFIG!$B$11,R57&gt;=CONFIG!$B$13),"ALERTA FUERTE",IF(AND(W57&gt;=CONFIG!$B$12,R57&gt;=CONFIG!$B$13),"ALERTA MEDIA","NO APTO"))))))</f>
        <v/>
      </c>
      <c r="Z57" s="2">
        <f>IF(Y57="","",IF(Y57="NO APTO","Revisar cuota/probabilidad/EV/puntuación/muestra",IF(Y57="ALERTA FUERTE","Cumple filtros de cuota + probabilidad + EV + confianza + muestra","Cumple filtros, pero confianza inferior a FUERTE")))</f>
        <v/>
      </c>
    </row>
    <row r="58">
      <c r="A58" s="2">
        <f>IF(E58="","",ROW()-1)</f>
        <v/>
      </c>
      <c r="B58" s="2" t="inlineStr">
        <is>
          <t>2026-08-19</t>
        </is>
      </c>
      <c r="C58" s="2" t="inlineStr">
        <is>
          <t>06:00</t>
        </is>
      </c>
      <c r="D58" s="2" t="inlineStr">
        <is>
          <t>Ligue A</t>
        </is>
      </c>
      <c r="E58" s="2" t="inlineStr">
        <is>
          <t>Young Star vs Kayanza United</t>
        </is>
      </c>
      <c r="F58" s="2" t="inlineStr">
        <is>
          <t>PENDIENTE</t>
        </is>
      </c>
      <c r="G58" s="2" t="inlineStr">
        <is>
          <t>SELECCIONAR MERCADO</t>
        </is>
      </c>
      <c r="H58" s="6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2" t="n"/>
      <c r="S58" s="7" t="n"/>
      <c r="T58" s="7">
        <f>IFERROR(1/H58,"")</f>
        <v/>
      </c>
      <c r="U58" s="7">
        <f>IF(OR(S58="",T58=""),"",S58-T58)</f>
        <v/>
      </c>
      <c r="V58" s="7">
        <f>IF(OR(S58="",H58=""),"",S58*H58-1)</f>
        <v/>
      </c>
      <c r="W58" s="2">
        <f>IF(E58="","",ROUND(100*(0.22*I58+0.18*J58+0.18*K58+0.10*L58+0.08*M58+0.06*N58+0.06*O58+0.04*P58+0.04*Q58+0.04*MIN(R58/10,1)),0))</f>
        <v/>
      </c>
      <c r="X58" s="2">
        <f>IF(W58="","",IF(W58&gt;=CONFIG!$B$11,"FUERTE",IF(W58&gt;=CONFIG!$B$12,"MEDIA","BAJA")))</f>
        <v/>
      </c>
      <c r="Y58" s="2">
        <f>IF(OR(H58="",S58=""),"",IF(OR(H58&lt;CONFIG!$B$2,H58&gt;CONFIG!$B$3),"NO APTO",IF(S58&lt;IF(H58&lt;1.6,CONFIG!$B$4,IF(H58&lt;1.7,CONFIG!$B$5,IF(H58&lt;1.8,CONFIG!$B$6,IF(H58&lt;2,CONFIG!$B$7,IF(H58&lt;2.2,CONFIG!$B$8,CONFIG!$B$9))))),"NO APTO",IF(V58&lt;CONFIG!$B$10,"NO APTO",IF(AND(W58&gt;=CONFIG!$B$11,R58&gt;=CONFIG!$B$13),"ALERTA FUERTE",IF(AND(W58&gt;=CONFIG!$B$12,R58&gt;=CONFIG!$B$13),"ALERTA MEDIA","NO APTO"))))))</f>
        <v/>
      </c>
      <c r="Z58" s="2">
        <f>IF(Y58="","",IF(Y58="NO APTO","Revisar cuota/probabilidad/EV/puntuación/muestra",IF(Y58="ALERTA FUERTE","Cumple filtros de cuota + probabilidad + EV + confianza + muestra","Cumple filtros, pero confianza inferior a FUERTE")))</f>
        <v/>
      </c>
    </row>
    <row r="59">
      <c r="A59" s="2">
        <f>IF(E59="","",ROW()-1)</f>
        <v/>
      </c>
      <c r="B59" s="2" t="inlineStr">
        <is>
          <t>2026-08-19</t>
        </is>
      </c>
      <c r="C59" s="2" t="inlineStr">
        <is>
          <t>06:00</t>
        </is>
      </c>
      <c r="D59" s="2" t="inlineStr">
        <is>
          <t>Premier League International Cup</t>
        </is>
      </c>
      <c r="E59" s="2" t="inlineStr">
        <is>
          <t>Sunderland U21 vs Jong PSV U21</t>
        </is>
      </c>
      <c r="F59" s="2" t="inlineStr">
        <is>
          <t>PENDIENTE</t>
        </is>
      </c>
      <c r="G59" s="2" t="inlineStr">
        <is>
          <t>SELECCIONAR MERCADO</t>
        </is>
      </c>
      <c r="H59" s="6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2" t="n"/>
      <c r="S59" s="7" t="n"/>
      <c r="T59" s="7">
        <f>IFERROR(1/H59,"")</f>
        <v/>
      </c>
      <c r="U59" s="7">
        <f>IF(OR(S59="",T59=""),"",S59-T59)</f>
        <v/>
      </c>
      <c r="V59" s="7">
        <f>IF(OR(S59="",H59=""),"",S59*H59-1)</f>
        <v/>
      </c>
      <c r="W59" s="2">
        <f>IF(E59="","",ROUND(100*(0.22*I59+0.18*J59+0.18*K59+0.10*L59+0.08*M59+0.06*N59+0.06*O59+0.04*P59+0.04*Q59+0.04*MIN(R59/10,1)),0))</f>
        <v/>
      </c>
      <c r="X59" s="2">
        <f>IF(W59="","",IF(W59&gt;=CONFIG!$B$11,"FUERTE",IF(W59&gt;=CONFIG!$B$12,"MEDIA","BAJA")))</f>
        <v/>
      </c>
      <c r="Y59" s="2">
        <f>IF(OR(H59="",S59=""),"",IF(OR(H59&lt;CONFIG!$B$2,H59&gt;CONFIG!$B$3),"NO APTO",IF(S59&lt;IF(H59&lt;1.6,CONFIG!$B$4,IF(H59&lt;1.7,CONFIG!$B$5,IF(H59&lt;1.8,CONFIG!$B$6,IF(H59&lt;2,CONFIG!$B$7,IF(H59&lt;2.2,CONFIG!$B$8,CONFIG!$B$9))))),"NO APTO",IF(V59&lt;CONFIG!$B$10,"NO APTO",IF(AND(W59&gt;=CONFIG!$B$11,R59&gt;=CONFIG!$B$13),"ALERTA FUERTE",IF(AND(W59&gt;=CONFIG!$B$12,R59&gt;=CONFIG!$B$13),"ALERTA MEDIA","NO APTO"))))))</f>
        <v/>
      </c>
      <c r="Z59" s="2">
        <f>IF(Y59="","",IF(Y59="NO APTO","Revisar cuota/probabilidad/EV/puntuación/muestra",IF(Y59="ALERTA FUERTE","Cumple filtros de cuota + probabilidad + EV + confianza + muestra","Cumple filtros, pero confianza inferior a FUERTE")))</f>
        <v/>
      </c>
    </row>
    <row r="60">
      <c r="A60" s="2">
        <f>IF(E60="","",ROW()-1)</f>
        <v/>
      </c>
      <c r="B60" s="2" t="inlineStr">
        <is>
          <t>2026-08-19</t>
        </is>
      </c>
      <c r="C60" s="2" t="inlineStr">
        <is>
          <t>06:30</t>
        </is>
      </c>
      <c r="D60" s="2" t="inlineStr">
        <is>
          <t>League Two</t>
        </is>
      </c>
      <c r="E60" s="2" t="inlineStr">
        <is>
          <t>Nantong Haimen Codion vs Qingdao Red Lions</t>
        </is>
      </c>
      <c r="F60" s="2" t="inlineStr">
        <is>
          <t>PENDIENTE</t>
        </is>
      </c>
      <c r="G60" s="2" t="inlineStr">
        <is>
          <t>SELECCIONAR MERCADO</t>
        </is>
      </c>
      <c r="H60" s="6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2" t="n"/>
      <c r="S60" s="7" t="n"/>
      <c r="T60" s="7">
        <f>IFERROR(1/H60,"")</f>
        <v/>
      </c>
      <c r="U60" s="7">
        <f>IF(OR(S60="",T60=""),"",S60-T60)</f>
        <v/>
      </c>
      <c r="V60" s="7">
        <f>IF(OR(S60="",H60=""),"",S60*H60-1)</f>
        <v/>
      </c>
      <c r="W60" s="2">
        <f>IF(E60="","",ROUND(100*(0.22*I60+0.18*J60+0.18*K60+0.10*L60+0.08*M60+0.06*N60+0.06*O60+0.04*P60+0.04*Q60+0.04*MIN(R60/10,1)),0))</f>
        <v/>
      </c>
      <c r="X60" s="2">
        <f>IF(W60="","",IF(W60&gt;=CONFIG!$B$11,"FUERTE",IF(W60&gt;=CONFIG!$B$12,"MEDIA","BAJA")))</f>
        <v/>
      </c>
      <c r="Y60" s="2">
        <f>IF(OR(H60="",S60=""),"",IF(OR(H60&lt;CONFIG!$B$2,H60&gt;CONFIG!$B$3),"NO APTO",IF(S60&lt;IF(H60&lt;1.6,CONFIG!$B$4,IF(H60&lt;1.7,CONFIG!$B$5,IF(H60&lt;1.8,CONFIG!$B$6,IF(H60&lt;2,CONFIG!$B$7,IF(H60&lt;2.2,CONFIG!$B$8,CONFIG!$B$9))))),"NO APTO",IF(V60&lt;CONFIG!$B$10,"NO APTO",IF(AND(W60&gt;=CONFIG!$B$11,R60&gt;=CONFIG!$B$13),"ALERTA FUERTE",IF(AND(W60&gt;=CONFIG!$B$12,R60&gt;=CONFIG!$B$13),"ALERTA MEDIA","NO APTO"))))))</f>
        <v/>
      </c>
      <c r="Z60" s="2">
        <f>IF(Y60="","",IF(Y60="NO APTO","Revisar cuota/probabilidad/EV/puntuación/muestra",IF(Y60="ALERTA FUERTE","Cumple filtros de cuota + probabilidad + EV + confianza + muestra","Cumple filtros, pero confianza inferior a FUERTE")))</f>
        <v/>
      </c>
    </row>
    <row r="61">
      <c r="A61" s="2">
        <f>IF(E61="","",ROW()-1)</f>
        <v/>
      </c>
      <c r="B61" s="2" t="inlineStr">
        <is>
          <t>2026-08-19</t>
        </is>
      </c>
      <c r="C61" s="2" t="inlineStr">
        <is>
          <t>06:35</t>
        </is>
      </c>
      <c r="D61" s="2" t="inlineStr">
        <is>
          <t>Super League</t>
        </is>
      </c>
      <c r="E61" s="2" t="inlineStr">
        <is>
          <t>SHANGHAI SIPG vs Dalian Zhixing</t>
        </is>
      </c>
      <c r="F61" s="2" t="inlineStr">
        <is>
          <t>PENDIENTE</t>
        </is>
      </c>
      <c r="G61" s="2" t="inlineStr">
        <is>
          <t>SELECCIONAR MERCADO</t>
        </is>
      </c>
      <c r="H61" s="6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2" t="n"/>
      <c r="S61" s="7" t="n"/>
      <c r="T61" s="7">
        <f>IFERROR(1/H61,"")</f>
        <v/>
      </c>
      <c r="U61" s="7">
        <f>IF(OR(S61="",T61=""),"",S61-T61)</f>
        <v/>
      </c>
      <c r="V61" s="7">
        <f>IF(OR(S61="",H61=""),"",S61*H61-1)</f>
        <v/>
      </c>
      <c r="W61" s="2">
        <f>IF(E61="","",ROUND(100*(0.22*I61+0.18*J61+0.18*K61+0.10*L61+0.08*M61+0.06*N61+0.06*O61+0.04*P61+0.04*Q61+0.04*MIN(R61/10,1)),0))</f>
        <v/>
      </c>
      <c r="X61" s="2">
        <f>IF(W61="","",IF(W61&gt;=CONFIG!$B$11,"FUERTE",IF(W61&gt;=CONFIG!$B$12,"MEDIA","BAJA")))</f>
        <v/>
      </c>
      <c r="Y61" s="2">
        <f>IF(OR(H61="",S61=""),"",IF(OR(H61&lt;CONFIG!$B$2,H61&gt;CONFIG!$B$3),"NO APTO",IF(S61&lt;IF(H61&lt;1.6,CONFIG!$B$4,IF(H61&lt;1.7,CONFIG!$B$5,IF(H61&lt;1.8,CONFIG!$B$6,IF(H61&lt;2,CONFIG!$B$7,IF(H61&lt;2.2,CONFIG!$B$8,CONFIG!$B$9))))),"NO APTO",IF(V61&lt;CONFIG!$B$10,"NO APTO",IF(AND(W61&gt;=CONFIG!$B$11,R61&gt;=CONFIG!$B$13),"ALERTA FUERTE",IF(AND(W61&gt;=CONFIG!$B$12,R61&gt;=CONFIG!$B$13),"ALERTA MEDIA","NO APTO"))))))</f>
        <v/>
      </c>
      <c r="Z61" s="2">
        <f>IF(Y61="","",IF(Y61="NO APTO","Revisar cuota/probabilidad/EV/puntuación/muestra",IF(Y61="ALERTA FUERTE","Cumple filtros de cuota + probabilidad + EV + confianza + muestra","Cumple filtros, pero confianza inferior a FUERTE")))</f>
        <v/>
      </c>
    </row>
    <row r="62">
      <c r="A62" s="2">
        <f>IF(E62="","",ROW()-1)</f>
        <v/>
      </c>
      <c r="B62" s="2" t="inlineStr">
        <is>
          <t>2026-08-19</t>
        </is>
      </c>
      <c r="C62" s="2" t="inlineStr">
        <is>
          <t>07:00</t>
        </is>
      </c>
      <c r="D62" s="2" t="inlineStr">
        <is>
          <t>U19 Bundesliga</t>
        </is>
      </c>
      <c r="E62" s="2" t="inlineStr">
        <is>
          <t>Bayern München U19 vs Stuttgart U19</t>
        </is>
      </c>
      <c r="F62" s="2" t="inlineStr">
        <is>
          <t>PENDIENTE</t>
        </is>
      </c>
      <c r="G62" s="2" t="inlineStr">
        <is>
          <t>SELECCIONAR MERCADO</t>
        </is>
      </c>
      <c r="H62" s="6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2" t="n"/>
      <c r="S62" s="7" t="n"/>
      <c r="T62" s="7">
        <f>IFERROR(1/H62,"")</f>
        <v/>
      </c>
      <c r="U62" s="7">
        <f>IF(OR(S62="",T62=""),"",S62-T62)</f>
        <v/>
      </c>
      <c r="V62" s="7">
        <f>IF(OR(S62="",H62=""),"",S62*H62-1)</f>
        <v/>
      </c>
      <c r="W62" s="2">
        <f>IF(E62="","",ROUND(100*(0.22*I62+0.18*J62+0.18*K62+0.10*L62+0.08*M62+0.06*N62+0.06*O62+0.04*P62+0.04*Q62+0.04*MIN(R62/10,1)),0))</f>
        <v/>
      </c>
      <c r="X62" s="2">
        <f>IF(W62="","",IF(W62&gt;=CONFIG!$B$11,"FUERTE",IF(W62&gt;=CONFIG!$B$12,"MEDIA","BAJA")))</f>
        <v/>
      </c>
      <c r="Y62" s="2">
        <f>IF(OR(H62="",S62=""),"",IF(OR(H62&lt;CONFIG!$B$2,H62&gt;CONFIG!$B$3),"NO APTO",IF(S62&lt;IF(H62&lt;1.6,CONFIG!$B$4,IF(H62&lt;1.7,CONFIG!$B$5,IF(H62&lt;1.8,CONFIG!$B$6,IF(H62&lt;2,CONFIG!$B$7,IF(H62&lt;2.2,CONFIG!$B$8,CONFIG!$B$9))))),"NO APTO",IF(V62&lt;CONFIG!$B$10,"NO APTO",IF(AND(W62&gt;=CONFIG!$B$11,R62&gt;=CONFIG!$B$13),"ALERTA FUERTE",IF(AND(W62&gt;=CONFIG!$B$12,R62&gt;=CONFIG!$B$13),"ALERTA MEDIA","NO APTO"))))))</f>
        <v/>
      </c>
      <c r="Z62" s="2">
        <f>IF(Y62="","",IF(Y62="NO APTO","Revisar cuota/probabilidad/EV/puntuación/muestra",IF(Y62="ALERTA FUERTE","Cumple filtros de cuota + probabilidad + EV + confianza + muestra","Cumple filtros, pero confianza inferior a FUERTE")))</f>
        <v/>
      </c>
    </row>
    <row r="63">
      <c r="A63" s="2">
        <f>IF(E63="","",ROW()-1)</f>
        <v/>
      </c>
      <c r="B63" s="2" t="inlineStr">
        <is>
          <t>2026-08-19</t>
        </is>
      </c>
      <c r="C63" s="2" t="inlineStr">
        <is>
          <t>07:00</t>
        </is>
      </c>
      <c r="D63" s="2" t="inlineStr">
        <is>
          <t>U19 Bundesliga</t>
        </is>
      </c>
      <c r="E63" s="2" t="inlineStr">
        <is>
          <t>Holstein Kiel U19 vs Hamburger SV U19</t>
        </is>
      </c>
      <c r="F63" s="2" t="inlineStr">
        <is>
          <t>PENDIENTE</t>
        </is>
      </c>
      <c r="G63" s="2" t="inlineStr">
        <is>
          <t>SELECCIONAR MERCADO</t>
        </is>
      </c>
      <c r="H63" s="6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2" t="n"/>
      <c r="S63" s="7" t="n"/>
      <c r="T63" s="7">
        <f>IFERROR(1/H63,"")</f>
        <v/>
      </c>
      <c r="U63" s="7">
        <f>IF(OR(S63="",T63=""),"",S63-T63)</f>
        <v/>
      </c>
      <c r="V63" s="7">
        <f>IF(OR(S63="",H63=""),"",S63*H63-1)</f>
        <v/>
      </c>
      <c r="W63" s="2">
        <f>IF(E63="","",ROUND(100*(0.22*I63+0.18*J63+0.18*K63+0.10*L63+0.08*M63+0.06*N63+0.06*O63+0.04*P63+0.04*Q63+0.04*MIN(R63/10,1)),0))</f>
        <v/>
      </c>
      <c r="X63" s="2">
        <f>IF(W63="","",IF(W63&gt;=CONFIG!$B$11,"FUERTE",IF(W63&gt;=CONFIG!$B$12,"MEDIA","BAJA")))</f>
        <v/>
      </c>
      <c r="Y63" s="2">
        <f>IF(OR(H63="",S63=""),"",IF(OR(H63&lt;CONFIG!$B$2,H63&gt;CONFIG!$B$3),"NO APTO",IF(S63&lt;IF(H63&lt;1.6,CONFIG!$B$4,IF(H63&lt;1.7,CONFIG!$B$5,IF(H63&lt;1.8,CONFIG!$B$6,IF(H63&lt;2,CONFIG!$B$7,IF(H63&lt;2.2,CONFIG!$B$8,CONFIG!$B$9))))),"NO APTO",IF(V63&lt;CONFIG!$B$10,"NO APTO",IF(AND(W63&gt;=CONFIG!$B$11,R63&gt;=CONFIG!$B$13),"ALERTA FUERTE",IF(AND(W63&gt;=CONFIG!$B$12,R63&gt;=CONFIG!$B$13),"ALERTA MEDIA","NO APTO"))))))</f>
        <v/>
      </c>
      <c r="Z63" s="2">
        <f>IF(Y63="","",IF(Y63="NO APTO","Revisar cuota/probabilidad/EV/puntuación/muestra",IF(Y63="ALERTA FUERTE","Cumple filtros de cuota + probabilidad + EV + confianza + muestra","Cumple filtros, pero confianza inferior a FUERTE")))</f>
        <v/>
      </c>
    </row>
    <row r="64">
      <c r="A64" s="2">
        <f>IF(E64="","",ROW()-1)</f>
        <v/>
      </c>
      <c r="B64" s="2" t="inlineStr">
        <is>
          <t>2026-08-19</t>
        </is>
      </c>
      <c r="C64" s="2" t="inlineStr">
        <is>
          <t>07:00</t>
        </is>
      </c>
      <c r="D64" s="2" t="inlineStr">
        <is>
          <t>First League</t>
        </is>
      </c>
      <c r="E64" s="2" t="inlineStr">
        <is>
          <t>Bentonit Ijevan vs Pyunik II</t>
        </is>
      </c>
      <c r="F64" s="2" t="inlineStr">
        <is>
          <t>PENDIENTE</t>
        </is>
      </c>
      <c r="G64" s="2" t="inlineStr">
        <is>
          <t>SELECCIONAR MERCADO</t>
        </is>
      </c>
      <c r="H64" s="6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2" t="n"/>
      <c r="S64" s="7" t="n"/>
      <c r="T64" s="7">
        <f>IFERROR(1/H64,"")</f>
        <v/>
      </c>
      <c r="U64" s="7">
        <f>IF(OR(S64="",T64=""),"",S64-T64)</f>
        <v/>
      </c>
      <c r="V64" s="7">
        <f>IF(OR(S64="",H64=""),"",S64*H64-1)</f>
        <v/>
      </c>
      <c r="W64" s="2">
        <f>IF(E64="","",ROUND(100*(0.22*I64+0.18*J64+0.18*K64+0.10*L64+0.08*M64+0.06*N64+0.06*O64+0.04*P64+0.04*Q64+0.04*MIN(R64/10,1)),0))</f>
        <v/>
      </c>
      <c r="X64" s="2">
        <f>IF(W64="","",IF(W64&gt;=CONFIG!$B$11,"FUERTE",IF(W64&gt;=CONFIG!$B$12,"MEDIA","BAJA")))</f>
        <v/>
      </c>
      <c r="Y64" s="2">
        <f>IF(OR(H64="",S64=""),"",IF(OR(H64&lt;CONFIG!$B$2,H64&gt;CONFIG!$B$3),"NO APTO",IF(S64&lt;IF(H64&lt;1.6,CONFIG!$B$4,IF(H64&lt;1.7,CONFIG!$B$5,IF(H64&lt;1.8,CONFIG!$B$6,IF(H64&lt;2,CONFIG!$B$7,IF(H64&lt;2.2,CONFIG!$B$8,CONFIG!$B$9))))),"NO APTO",IF(V64&lt;CONFIG!$B$10,"NO APTO",IF(AND(W64&gt;=CONFIG!$B$11,R64&gt;=CONFIG!$B$13),"ALERTA FUERTE",IF(AND(W64&gt;=CONFIG!$B$12,R64&gt;=CONFIG!$B$13),"ALERTA MEDIA","NO APTO"))))))</f>
        <v/>
      </c>
      <c r="Z64" s="2">
        <f>IF(Y64="","",IF(Y64="NO APTO","Revisar cuota/probabilidad/EV/puntuación/muestra",IF(Y64="ALERTA FUERTE","Cumple filtros de cuota + probabilidad + EV + confianza + muestra","Cumple filtros, pero confianza inferior a FUERTE")))</f>
        <v/>
      </c>
    </row>
    <row r="65">
      <c r="A65" s="2">
        <f>IF(E65="","",ROW()-1)</f>
        <v/>
      </c>
      <c r="B65" s="2" t="inlineStr">
        <is>
          <t>2026-08-19</t>
        </is>
      </c>
      <c r="C65" s="2" t="inlineStr">
        <is>
          <t>07:00</t>
        </is>
      </c>
      <c r="D65" s="2" t="inlineStr">
        <is>
          <t>U18 Premier League - South</t>
        </is>
      </c>
      <c r="E65" s="2" t="inlineStr">
        <is>
          <t>Chelsea U18 vs Norwich City U18</t>
        </is>
      </c>
      <c r="F65" s="2" t="inlineStr">
        <is>
          <t>PENDIENTE</t>
        </is>
      </c>
      <c r="G65" s="2" t="inlineStr">
        <is>
          <t>SELECCIONAR MERCADO</t>
        </is>
      </c>
      <c r="H65" s="6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2" t="n"/>
      <c r="S65" s="7" t="n"/>
      <c r="T65" s="7">
        <f>IFERROR(1/H65,"")</f>
        <v/>
      </c>
      <c r="U65" s="7">
        <f>IF(OR(S65="",T65=""),"",S65-T65)</f>
        <v/>
      </c>
      <c r="V65" s="7">
        <f>IF(OR(S65="",H65=""),"",S65*H65-1)</f>
        <v/>
      </c>
      <c r="W65" s="2">
        <f>IF(E65="","",ROUND(100*(0.22*I65+0.18*J65+0.18*K65+0.10*L65+0.08*M65+0.06*N65+0.06*O65+0.04*P65+0.04*Q65+0.04*MIN(R65/10,1)),0))</f>
        <v/>
      </c>
      <c r="X65" s="2">
        <f>IF(W65="","",IF(W65&gt;=CONFIG!$B$11,"FUERTE",IF(W65&gt;=CONFIG!$B$12,"MEDIA","BAJA")))</f>
        <v/>
      </c>
      <c r="Y65" s="2">
        <f>IF(OR(H65="",S65=""),"",IF(OR(H65&lt;CONFIG!$B$2,H65&gt;CONFIG!$B$3),"NO APTO",IF(S65&lt;IF(H65&lt;1.6,CONFIG!$B$4,IF(H65&lt;1.7,CONFIG!$B$5,IF(H65&lt;1.8,CONFIG!$B$6,IF(H65&lt;2,CONFIG!$B$7,IF(H65&lt;2.2,CONFIG!$B$8,CONFIG!$B$9))))),"NO APTO",IF(V65&lt;CONFIG!$B$10,"NO APTO",IF(AND(W65&gt;=CONFIG!$B$11,R65&gt;=CONFIG!$B$13),"ALERTA FUERTE",IF(AND(W65&gt;=CONFIG!$B$12,R65&gt;=CONFIG!$B$13),"ALERTA MEDIA","NO APTO"))))))</f>
        <v/>
      </c>
      <c r="Z65" s="2">
        <f>IF(Y65="","",IF(Y65="NO APTO","Revisar cuota/probabilidad/EV/puntuación/muestra",IF(Y65="ALERTA FUERTE","Cumple filtros de cuota + probabilidad + EV + confianza + muestra","Cumple filtros, pero confianza inferior a FUERTE")))</f>
        <v/>
      </c>
    </row>
    <row r="66">
      <c r="A66" s="2">
        <f>IF(E66="","",ROW()-1)</f>
        <v/>
      </c>
      <c r="B66" s="2" t="inlineStr">
        <is>
          <t>2026-08-19</t>
        </is>
      </c>
      <c r="C66" s="2" t="inlineStr">
        <is>
          <t>07:30</t>
        </is>
      </c>
      <c r="D66" s="2" t="inlineStr">
        <is>
          <t>III Liga - Group 3</t>
        </is>
      </c>
      <c r="E66" s="2" t="inlineStr">
        <is>
          <t>Rakow II vs Stilon Gorzów</t>
        </is>
      </c>
      <c r="F66" s="2" t="inlineStr">
        <is>
          <t>PENDIENTE</t>
        </is>
      </c>
      <c r="G66" s="2" t="inlineStr">
        <is>
          <t>SELECCIONAR MERCADO</t>
        </is>
      </c>
      <c r="H66" s="6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2" t="n"/>
      <c r="S66" s="7" t="n"/>
      <c r="T66" s="7">
        <f>IFERROR(1/H66,"")</f>
        <v/>
      </c>
      <c r="U66" s="7">
        <f>IF(OR(S66="",T66=""),"",S66-T66)</f>
        <v/>
      </c>
      <c r="V66" s="7">
        <f>IF(OR(S66="",H66=""),"",S66*H66-1)</f>
        <v/>
      </c>
      <c r="W66" s="2">
        <f>IF(E66="","",ROUND(100*(0.22*I66+0.18*J66+0.18*K66+0.10*L66+0.08*M66+0.06*N66+0.06*O66+0.04*P66+0.04*Q66+0.04*MIN(R66/10,1)),0))</f>
        <v/>
      </c>
      <c r="X66" s="2">
        <f>IF(W66="","",IF(W66&gt;=CONFIG!$B$11,"FUERTE",IF(W66&gt;=CONFIG!$B$12,"MEDIA","BAJA")))</f>
        <v/>
      </c>
      <c r="Y66" s="2">
        <f>IF(OR(H66="",S66=""),"",IF(OR(H66&lt;CONFIG!$B$2,H66&gt;CONFIG!$B$3),"NO APTO",IF(S66&lt;IF(H66&lt;1.6,CONFIG!$B$4,IF(H66&lt;1.7,CONFIG!$B$5,IF(H66&lt;1.8,CONFIG!$B$6,IF(H66&lt;2,CONFIG!$B$7,IF(H66&lt;2.2,CONFIG!$B$8,CONFIG!$B$9))))),"NO APTO",IF(V66&lt;CONFIG!$B$10,"NO APTO",IF(AND(W66&gt;=CONFIG!$B$11,R66&gt;=CONFIG!$B$13),"ALERTA FUERTE",IF(AND(W66&gt;=CONFIG!$B$12,R66&gt;=CONFIG!$B$13),"ALERTA MEDIA","NO APTO"))))))</f>
        <v/>
      </c>
      <c r="Z66" s="2">
        <f>IF(Y66="","",IF(Y66="NO APTO","Revisar cuota/probabilidad/EV/puntuación/muestra",IF(Y66="ALERTA FUERTE","Cumple filtros de cuota + probabilidad + EV + confianza + muestra","Cumple filtros, pero confianza inferior a FUERTE")))</f>
        <v/>
      </c>
    </row>
    <row r="67">
      <c r="A67" s="2">
        <f>IF(E67="","",ROW()-1)</f>
        <v/>
      </c>
      <c r="B67" s="2" t="inlineStr">
        <is>
          <t>2026-08-19</t>
        </is>
      </c>
      <c r="C67" s="2" t="inlineStr">
        <is>
          <t>07:30</t>
        </is>
      </c>
      <c r="D67" s="2" t="inlineStr">
        <is>
          <t>First League</t>
        </is>
      </c>
      <c r="E67" s="2" t="inlineStr">
        <is>
          <t>Ararat II vs Shirak II</t>
        </is>
      </c>
      <c r="F67" s="2" t="inlineStr">
        <is>
          <t>PENDIENTE</t>
        </is>
      </c>
      <c r="G67" s="2" t="inlineStr">
        <is>
          <t>SELECCIONAR MERCADO</t>
        </is>
      </c>
      <c r="H67" s="6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2" t="n"/>
      <c r="S67" s="7" t="n"/>
      <c r="T67" s="7">
        <f>IFERROR(1/H67,"")</f>
        <v/>
      </c>
      <c r="U67" s="7">
        <f>IF(OR(S67="",T67=""),"",S67-T67)</f>
        <v/>
      </c>
      <c r="V67" s="7">
        <f>IF(OR(S67="",H67=""),"",S67*H67-1)</f>
        <v/>
      </c>
      <c r="W67" s="2">
        <f>IF(E67="","",ROUND(100*(0.22*I67+0.18*J67+0.18*K67+0.10*L67+0.08*M67+0.06*N67+0.06*O67+0.04*P67+0.04*Q67+0.04*MIN(R67/10,1)),0))</f>
        <v/>
      </c>
      <c r="X67" s="2">
        <f>IF(W67="","",IF(W67&gt;=CONFIG!$B$11,"FUERTE",IF(W67&gt;=CONFIG!$B$12,"MEDIA","BAJA")))</f>
        <v/>
      </c>
      <c r="Y67" s="2">
        <f>IF(OR(H67="",S67=""),"",IF(OR(H67&lt;CONFIG!$B$2,H67&gt;CONFIG!$B$3),"NO APTO",IF(S67&lt;IF(H67&lt;1.6,CONFIG!$B$4,IF(H67&lt;1.7,CONFIG!$B$5,IF(H67&lt;1.8,CONFIG!$B$6,IF(H67&lt;2,CONFIG!$B$7,IF(H67&lt;2.2,CONFIG!$B$8,CONFIG!$B$9))))),"NO APTO",IF(V67&lt;CONFIG!$B$10,"NO APTO",IF(AND(W67&gt;=CONFIG!$B$11,R67&gt;=CONFIG!$B$13),"ALERTA FUERTE",IF(AND(W67&gt;=CONFIG!$B$12,R67&gt;=CONFIG!$B$13),"ALERTA MEDIA","NO APTO"))))))</f>
        <v/>
      </c>
      <c r="Z67" s="2">
        <f>IF(Y67="","",IF(Y67="NO APTO","Revisar cuota/probabilidad/EV/puntuación/muestra",IF(Y67="ALERTA FUERTE","Cumple filtros de cuota + probabilidad + EV + confianza + muestra","Cumple filtros, pero confianza inferior a FUERTE")))</f>
        <v/>
      </c>
    </row>
    <row r="68">
      <c r="A68" s="2">
        <f>IF(E68="","",ROW()-1)</f>
        <v/>
      </c>
      <c r="B68" s="2" t="inlineStr">
        <is>
          <t>2026-08-19</t>
        </is>
      </c>
      <c r="C68" s="2" t="inlineStr">
        <is>
          <t>08:00</t>
        </is>
      </c>
      <c r="D68" s="2" t="inlineStr">
        <is>
          <t>Cup</t>
        </is>
      </c>
      <c r="E68" s="2" t="inlineStr">
        <is>
          <t>Altay vs Ordabasy</t>
        </is>
      </c>
      <c r="F68" s="2" t="inlineStr">
        <is>
          <t>PENDIENTE</t>
        </is>
      </c>
      <c r="G68" s="2" t="inlineStr">
        <is>
          <t>SELECCIONAR MERCADO</t>
        </is>
      </c>
      <c r="H68" s="6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2" t="n"/>
      <c r="S68" s="7" t="n"/>
      <c r="T68" s="7">
        <f>IFERROR(1/H68,"")</f>
        <v/>
      </c>
      <c r="U68" s="7">
        <f>IF(OR(S68="",T68=""),"",S68-T68)</f>
        <v/>
      </c>
      <c r="V68" s="7">
        <f>IF(OR(S68="",H68=""),"",S68*H68-1)</f>
        <v/>
      </c>
      <c r="W68" s="2">
        <f>IF(E68="","",ROUND(100*(0.22*I68+0.18*J68+0.18*K68+0.10*L68+0.08*M68+0.06*N68+0.06*O68+0.04*P68+0.04*Q68+0.04*MIN(R68/10,1)),0))</f>
        <v/>
      </c>
      <c r="X68" s="2">
        <f>IF(W68="","",IF(W68&gt;=CONFIG!$B$11,"FUERTE",IF(W68&gt;=CONFIG!$B$12,"MEDIA","BAJA")))</f>
        <v/>
      </c>
      <c r="Y68" s="2">
        <f>IF(OR(H68="",S68=""),"",IF(OR(H68&lt;CONFIG!$B$2,H68&gt;CONFIG!$B$3),"NO APTO",IF(S68&lt;IF(H68&lt;1.6,CONFIG!$B$4,IF(H68&lt;1.7,CONFIG!$B$5,IF(H68&lt;1.8,CONFIG!$B$6,IF(H68&lt;2,CONFIG!$B$7,IF(H68&lt;2.2,CONFIG!$B$8,CONFIG!$B$9))))),"NO APTO",IF(V68&lt;CONFIG!$B$10,"NO APTO",IF(AND(W68&gt;=CONFIG!$B$11,R68&gt;=CONFIG!$B$13),"ALERTA FUERTE",IF(AND(W68&gt;=CONFIG!$B$12,R68&gt;=CONFIG!$B$13),"ALERTA MEDIA","NO APTO"))))))</f>
        <v/>
      </c>
      <c r="Z68" s="2">
        <f>IF(Y68="","",IF(Y68="NO APTO","Revisar cuota/probabilidad/EV/puntuación/muestra",IF(Y68="ALERTA FUERTE","Cumple filtros de cuota + probabilidad + EV + confianza + muestra","Cumple filtros, pero confianza inferior a FUERTE")))</f>
        <v/>
      </c>
    </row>
    <row r="69">
      <c r="A69" s="2">
        <f>IF(E69="","",ROW()-1)</f>
        <v/>
      </c>
      <c r="B69" s="2" t="inlineStr">
        <is>
          <t>2026-08-19</t>
        </is>
      </c>
      <c r="C69" s="2" t="inlineStr">
        <is>
          <t>08:00</t>
        </is>
      </c>
      <c r="D69" s="2" t="inlineStr">
        <is>
          <t>III Liga - Group 1</t>
        </is>
      </c>
      <c r="E69" s="2" t="inlineStr">
        <is>
          <t>ŁKS Łódź II vs Weszlo</t>
        </is>
      </c>
      <c r="F69" s="2" t="inlineStr">
        <is>
          <t>PENDIENTE</t>
        </is>
      </c>
      <c r="G69" s="2" t="inlineStr">
        <is>
          <t>SELECCIONAR MERCADO</t>
        </is>
      </c>
      <c r="H69" s="6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2" t="n"/>
      <c r="S69" s="7" t="n"/>
      <c r="T69" s="7">
        <f>IFERROR(1/H69,"")</f>
        <v/>
      </c>
      <c r="U69" s="7">
        <f>IF(OR(S69="",T69=""),"",S69-T69)</f>
        <v/>
      </c>
      <c r="V69" s="7">
        <f>IF(OR(S69="",H69=""),"",S69*H69-1)</f>
        <v/>
      </c>
      <c r="W69" s="2">
        <f>IF(E69="","",ROUND(100*(0.22*I69+0.18*J69+0.18*K69+0.10*L69+0.08*M69+0.06*N69+0.06*O69+0.04*P69+0.04*Q69+0.04*MIN(R69/10,1)),0))</f>
        <v/>
      </c>
      <c r="X69" s="2">
        <f>IF(W69="","",IF(W69&gt;=CONFIG!$B$11,"FUERTE",IF(W69&gt;=CONFIG!$B$12,"MEDIA","BAJA")))</f>
        <v/>
      </c>
      <c r="Y69" s="2">
        <f>IF(OR(H69="",S69=""),"",IF(OR(H69&lt;CONFIG!$B$2,H69&gt;CONFIG!$B$3),"NO APTO",IF(S69&lt;IF(H69&lt;1.6,CONFIG!$B$4,IF(H69&lt;1.7,CONFIG!$B$5,IF(H69&lt;1.8,CONFIG!$B$6,IF(H69&lt;2,CONFIG!$B$7,IF(H69&lt;2.2,CONFIG!$B$8,CONFIG!$B$9))))),"NO APTO",IF(V69&lt;CONFIG!$B$10,"NO APTO",IF(AND(W69&gt;=CONFIG!$B$11,R69&gt;=CONFIG!$B$13),"ALERTA FUERTE",IF(AND(W69&gt;=CONFIG!$B$12,R69&gt;=CONFIG!$B$13),"ALERTA MEDIA","NO APTO"))))))</f>
        <v/>
      </c>
      <c r="Z69" s="2">
        <f>IF(Y69="","",IF(Y69="NO APTO","Revisar cuota/probabilidad/EV/puntuación/muestra",IF(Y69="ALERTA FUERTE","Cumple filtros de cuota + probabilidad + EV + confianza + muestra","Cumple filtros, pero confianza inferior a FUERTE")))</f>
        <v/>
      </c>
    </row>
    <row r="70">
      <c r="A70" s="2">
        <f>IF(E70="","",ROW()-1)</f>
        <v/>
      </c>
      <c r="B70" s="2" t="inlineStr">
        <is>
          <t>2026-08-19</t>
        </is>
      </c>
      <c r="C70" s="2" t="inlineStr">
        <is>
          <t>08:00</t>
        </is>
      </c>
      <c r="D70" s="2" t="inlineStr">
        <is>
          <t>Premier Soccer League</t>
        </is>
      </c>
      <c r="E70" s="2" t="inlineStr">
        <is>
          <t>Highlanders vs Chicken Inn</t>
        </is>
      </c>
      <c r="F70" s="2" t="inlineStr">
        <is>
          <t>PENDIENTE</t>
        </is>
      </c>
      <c r="G70" s="2" t="inlineStr">
        <is>
          <t>SELECCIONAR MERCADO</t>
        </is>
      </c>
      <c r="H70" s="6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2" t="n"/>
      <c r="S70" s="7" t="n"/>
      <c r="T70" s="7">
        <f>IFERROR(1/H70,"")</f>
        <v/>
      </c>
      <c r="U70" s="7">
        <f>IF(OR(S70="",T70=""),"",S70-T70)</f>
        <v/>
      </c>
      <c r="V70" s="7">
        <f>IF(OR(S70="",H70=""),"",S70*H70-1)</f>
        <v/>
      </c>
      <c r="W70" s="2">
        <f>IF(E70="","",ROUND(100*(0.22*I70+0.18*J70+0.18*K70+0.10*L70+0.08*M70+0.06*N70+0.06*O70+0.04*P70+0.04*Q70+0.04*MIN(R70/10,1)),0))</f>
        <v/>
      </c>
      <c r="X70" s="2">
        <f>IF(W70="","",IF(W70&gt;=CONFIG!$B$11,"FUERTE",IF(W70&gt;=CONFIG!$B$12,"MEDIA","BAJA")))</f>
        <v/>
      </c>
      <c r="Y70" s="2">
        <f>IF(OR(H70="",S70=""),"",IF(OR(H70&lt;CONFIG!$B$2,H70&gt;CONFIG!$B$3),"NO APTO",IF(S70&lt;IF(H70&lt;1.6,CONFIG!$B$4,IF(H70&lt;1.7,CONFIG!$B$5,IF(H70&lt;1.8,CONFIG!$B$6,IF(H70&lt;2,CONFIG!$B$7,IF(H70&lt;2.2,CONFIG!$B$8,CONFIG!$B$9))))),"NO APTO",IF(V70&lt;CONFIG!$B$10,"NO APTO",IF(AND(W70&gt;=CONFIG!$B$11,R70&gt;=CONFIG!$B$13),"ALERTA FUERTE",IF(AND(W70&gt;=CONFIG!$B$12,R70&gt;=CONFIG!$B$13),"ALERTA MEDIA","NO APTO"))))))</f>
        <v/>
      </c>
      <c r="Z70" s="2">
        <f>IF(Y70="","",IF(Y70="NO APTO","Revisar cuota/probabilidad/EV/puntuación/muestra",IF(Y70="ALERTA FUERTE","Cumple filtros de cuota + probabilidad + EV + confianza + muestra","Cumple filtros, pero confianza inferior a FUERTE")))</f>
        <v/>
      </c>
    </row>
    <row r="71">
      <c r="A71" s="2">
        <f>IF(E71="","",ROW()-1)</f>
        <v/>
      </c>
      <c r="B71" s="2" t="inlineStr">
        <is>
          <t>2026-08-19</t>
        </is>
      </c>
      <c r="C71" s="2" t="inlineStr">
        <is>
          <t>08:00</t>
        </is>
      </c>
      <c r="D71" s="2" t="inlineStr">
        <is>
          <t>Premier Soccer League</t>
        </is>
      </c>
      <c r="E71" s="2" t="inlineStr">
        <is>
          <t>Dynamos vs Scotland Mabvuku</t>
        </is>
      </c>
      <c r="F71" s="2" t="inlineStr">
        <is>
          <t>PENDIENTE</t>
        </is>
      </c>
      <c r="G71" s="2" t="inlineStr">
        <is>
          <t>SELECCIONAR MERCADO</t>
        </is>
      </c>
      <c r="H71" s="6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2" t="n"/>
      <c r="S71" s="7" t="n"/>
      <c r="T71" s="7">
        <f>IFERROR(1/H71,"")</f>
        <v/>
      </c>
      <c r="U71" s="7">
        <f>IF(OR(S71="",T71=""),"",S71-T71)</f>
        <v/>
      </c>
      <c r="V71" s="7">
        <f>IF(OR(S71="",H71=""),"",S71*H71-1)</f>
        <v/>
      </c>
      <c r="W71" s="2">
        <f>IF(E71="","",ROUND(100*(0.22*I71+0.18*J71+0.18*K71+0.10*L71+0.08*M71+0.06*N71+0.06*O71+0.04*P71+0.04*Q71+0.04*MIN(R71/10,1)),0))</f>
        <v/>
      </c>
      <c r="X71" s="2">
        <f>IF(W71="","",IF(W71&gt;=CONFIG!$B$11,"FUERTE",IF(W71&gt;=CONFIG!$B$12,"MEDIA","BAJA")))</f>
        <v/>
      </c>
      <c r="Y71" s="2">
        <f>IF(OR(H71="",S71=""),"",IF(OR(H71&lt;CONFIG!$B$2,H71&gt;CONFIG!$B$3),"NO APTO",IF(S71&lt;IF(H71&lt;1.6,CONFIG!$B$4,IF(H71&lt;1.7,CONFIG!$B$5,IF(H71&lt;1.8,CONFIG!$B$6,IF(H71&lt;2,CONFIG!$B$7,IF(H71&lt;2.2,CONFIG!$B$8,CONFIG!$B$9))))),"NO APTO",IF(V71&lt;CONFIG!$B$10,"NO APTO",IF(AND(W71&gt;=CONFIG!$B$11,R71&gt;=CONFIG!$B$13),"ALERTA FUERTE",IF(AND(W71&gt;=CONFIG!$B$12,R71&gt;=CONFIG!$B$13),"ALERTA MEDIA","NO APTO"))))))</f>
        <v/>
      </c>
      <c r="Z71" s="2">
        <f>IF(Y71="","",IF(Y71="NO APTO","Revisar cuota/probabilidad/EV/puntuación/muestra",IF(Y71="ALERTA FUERTE","Cumple filtros de cuota + probabilidad + EV + confianza + muestra","Cumple filtros, pero confianza inferior a FUERTE")))</f>
        <v/>
      </c>
    </row>
    <row r="72">
      <c r="A72" s="2">
        <f>IF(E72="","",ROW()-1)</f>
        <v/>
      </c>
      <c r="B72" s="2" t="inlineStr">
        <is>
          <t>2026-08-19</t>
        </is>
      </c>
      <c r="C72" s="2" t="inlineStr">
        <is>
          <t>08:00</t>
        </is>
      </c>
      <c r="D72" s="2" t="inlineStr">
        <is>
          <t>First League</t>
        </is>
      </c>
      <c r="E72" s="2" t="inlineStr">
        <is>
          <t>Araks Ararat vs Hayq</t>
        </is>
      </c>
      <c r="F72" s="2" t="inlineStr">
        <is>
          <t>PENDIENTE</t>
        </is>
      </c>
      <c r="G72" s="2" t="inlineStr">
        <is>
          <t>SELECCIONAR MERCADO</t>
        </is>
      </c>
      <c r="H72" s="6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2" t="n"/>
      <c r="S72" s="7" t="n"/>
      <c r="T72" s="7">
        <f>IFERROR(1/H72,"")</f>
        <v/>
      </c>
      <c r="U72" s="7">
        <f>IF(OR(S72="",T72=""),"",S72-T72)</f>
        <v/>
      </c>
      <c r="V72" s="7">
        <f>IF(OR(S72="",H72=""),"",S72*H72-1)</f>
        <v/>
      </c>
      <c r="W72" s="2">
        <f>IF(E72="","",ROUND(100*(0.22*I72+0.18*J72+0.18*K72+0.10*L72+0.08*M72+0.06*N72+0.06*O72+0.04*P72+0.04*Q72+0.04*MIN(R72/10,1)),0))</f>
        <v/>
      </c>
      <c r="X72" s="2">
        <f>IF(W72="","",IF(W72&gt;=CONFIG!$B$11,"FUERTE",IF(W72&gt;=CONFIG!$B$12,"MEDIA","BAJA")))</f>
        <v/>
      </c>
      <c r="Y72" s="2">
        <f>IF(OR(H72="",S72=""),"",IF(OR(H72&lt;CONFIG!$B$2,H72&gt;CONFIG!$B$3),"NO APTO",IF(S72&lt;IF(H72&lt;1.6,CONFIG!$B$4,IF(H72&lt;1.7,CONFIG!$B$5,IF(H72&lt;1.8,CONFIG!$B$6,IF(H72&lt;2,CONFIG!$B$7,IF(H72&lt;2.2,CONFIG!$B$8,CONFIG!$B$9))))),"NO APTO",IF(V72&lt;CONFIG!$B$10,"NO APTO",IF(AND(W72&gt;=CONFIG!$B$11,R72&gt;=CONFIG!$B$13),"ALERTA FUERTE",IF(AND(W72&gt;=CONFIG!$B$12,R72&gt;=CONFIG!$B$13),"ALERTA MEDIA","NO APTO"))))))</f>
        <v/>
      </c>
      <c r="Z72" s="2">
        <f>IF(Y72="","",IF(Y72="NO APTO","Revisar cuota/probabilidad/EV/puntuación/muestra",IF(Y72="ALERTA FUERTE","Cumple filtros de cuota + probabilidad + EV + confianza + muestra","Cumple filtros, pero confianza inferior a FUERTE")))</f>
        <v/>
      </c>
    </row>
    <row r="73">
      <c r="A73" s="2">
        <f>IF(E73="","",ROW()-1)</f>
        <v/>
      </c>
      <c r="B73" s="2" t="inlineStr">
        <is>
          <t>2026-08-19</t>
        </is>
      </c>
      <c r="C73" s="2" t="inlineStr">
        <is>
          <t>08:00</t>
        </is>
      </c>
      <c r="D73" s="2" t="inlineStr">
        <is>
          <t>ASEAN Championship</t>
        </is>
      </c>
      <c r="E73" s="2" t="inlineStr">
        <is>
          <t>Vietnam vs Malaysia</t>
        </is>
      </c>
      <c r="F73" s="2" t="inlineStr">
        <is>
          <t>PENDIENTE</t>
        </is>
      </c>
      <c r="G73" s="2" t="inlineStr">
        <is>
          <t>SELECCIONAR MERCADO</t>
        </is>
      </c>
      <c r="H73" s="6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2" t="n"/>
      <c r="S73" s="7" t="n"/>
      <c r="T73" s="7">
        <f>IFERROR(1/H73,"")</f>
        <v/>
      </c>
      <c r="U73" s="7">
        <f>IF(OR(S73="",T73=""),"",S73-T73)</f>
        <v/>
      </c>
      <c r="V73" s="7">
        <f>IF(OR(S73="",H73=""),"",S73*H73-1)</f>
        <v/>
      </c>
      <c r="W73" s="2">
        <f>IF(E73="","",ROUND(100*(0.22*I73+0.18*J73+0.18*K73+0.10*L73+0.08*M73+0.06*N73+0.06*O73+0.04*P73+0.04*Q73+0.04*MIN(R73/10,1)),0))</f>
        <v/>
      </c>
      <c r="X73" s="2">
        <f>IF(W73="","",IF(W73&gt;=CONFIG!$B$11,"FUERTE",IF(W73&gt;=CONFIG!$B$12,"MEDIA","BAJA")))</f>
        <v/>
      </c>
      <c r="Y73" s="2">
        <f>IF(OR(H73="",S73=""),"",IF(OR(H73&lt;CONFIG!$B$2,H73&gt;CONFIG!$B$3),"NO APTO",IF(S73&lt;IF(H73&lt;1.6,CONFIG!$B$4,IF(H73&lt;1.7,CONFIG!$B$5,IF(H73&lt;1.8,CONFIG!$B$6,IF(H73&lt;2,CONFIG!$B$7,IF(H73&lt;2.2,CONFIG!$B$8,CONFIG!$B$9))))),"NO APTO",IF(V73&lt;CONFIG!$B$10,"NO APTO",IF(AND(W73&gt;=CONFIG!$B$11,R73&gt;=CONFIG!$B$13),"ALERTA FUERTE",IF(AND(W73&gt;=CONFIG!$B$12,R73&gt;=CONFIG!$B$13),"ALERTA MEDIA","NO APTO"))))))</f>
        <v/>
      </c>
      <c r="Z73" s="2">
        <f>IF(Y73="","",IF(Y73="NO APTO","Revisar cuota/probabilidad/EV/puntuación/muestra",IF(Y73="ALERTA FUERTE","Cumple filtros de cuota + probabilidad + EV + confianza + muestra","Cumple filtros, pero confianza inferior a FUERTE")))</f>
        <v/>
      </c>
    </row>
    <row r="74">
      <c r="A74" s="2">
        <f>IF(E74="","",ROW()-1)</f>
        <v/>
      </c>
      <c r="B74" s="2" t="inlineStr">
        <is>
          <t>2026-08-19</t>
        </is>
      </c>
      <c r="C74" s="2" t="inlineStr">
        <is>
          <t>08:00</t>
        </is>
      </c>
      <c r="D74" s="2" t="inlineStr">
        <is>
          <t>Pernambucano - U20</t>
        </is>
      </c>
      <c r="E74" s="2" t="inlineStr">
        <is>
          <t>Nautico U20 vs Academica Vitoria U20</t>
        </is>
      </c>
      <c r="F74" s="2" t="inlineStr">
        <is>
          <t>PENDIENTE</t>
        </is>
      </c>
      <c r="G74" s="2" t="inlineStr">
        <is>
          <t>SELECCIONAR MERCADO</t>
        </is>
      </c>
      <c r="H74" s="6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2" t="n"/>
      <c r="S74" s="7" t="n"/>
      <c r="T74" s="7">
        <f>IFERROR(1/H74,"")</f>
        <v/>
      </c>
      <c r="U74" s="7">
        <f>IF(OR(S74="",T74=""),"",S74-T74)</f>
        <v/>
      </c>
      <c r="V74" s="7">
        <f>IF(OR(S74="",H74=""),"",S74*H74-1)</f>
        <v/>
      </c>
      <c r="W74" s="2">
        <f>IF(E74="","",ROUND(100*(0.22*I74+0.18*J74+0.18*K74+0.10*L74+0.08*M74+0.06*N74+0.06*O74+0.04*P74+0.04*Q74+0.04*MIN(R74/10,1)),0))</f>
        <v/>
      </c>
      <c r="X74" s="2">
        <f>IF(W74="","",IF(W74&gt;=CONFIG!$B$11,"FUERTE",IF(W74&gt;=CONFIG!$B$12,"MEDIA","BAJA")))</f>
        <v/>
      </c>
      <c r="Y74" s="2">
        <f>IF(OR(H74="",S74=""),"",IF(OR(H74&lt;CONFIG!$B$2,H74&gt;CONFIG!$B$3),"NO APTO",IF(S74&lt;IF(H74&lt;1.6,CONFIG!$B$4,IF(H74&lt;1.7,CONFIG!$B$5,IF(H74&lt;1.8,CONFIG!$B$6,IF(H74&lt;2,CONFIG!$B$7,IF(H74&lt;2.2,CONFIG!$B$8,CONFIG!$B$9))))),"NO APTO",IF(V74&lt;CONFIG!$B$10,"NO APTO",IF(AND(W74&gt;=CONFIG!$B$11,R74&gt;=CONFIG!$B$13),"ALERTA FUERTE",IF(AND(W74&gt;=CONFIG!$B$12,R74&gt;=CONFIG!$B$13),"ALERTA MEDIA","NO APTO"))))))</f>
        <v/>
      </c>
      <c r="Z74" s="2">
        <f>IF(Y74="","",IF(Y74="NO APTO","Revisar cuota/probabilidad/EV/puntuación/muestra",IF(Y74="ALERTA FUERTE","Cumple filtros de cuota + probabilidad + EV + confianza + muestra","Cumple filtros, pero confianza inferior a FUERTE")))</f>
        <v/>
      </c>
    </row>
    <row r="75">
      <c r="A75" s="2">
        <f>IF(E75="","",ROW()-1)</f>
        <v/>
      </c>
      <c r="B75" s="2" t="inlineStr">
        <is>
          <t>2026-08-19</t>
        </is>
      </c>
      <c r="C75" s="2" t="inlineStr">
        <is>
          <t>08:00</t>
        </is>
      </c>
      <c r="D75" s="2" t="inlineStr">
        <is>
          <t>Nasjonal U19 Champions League</t>
        </is>
      </c>
      <c r="E75" s="2" t="inlineStr">
        <is>
          <t>Viking U19 vs Brann U19</t>
        </is>
      </c>
      <c r="F75" s="2" t="inlineStr">
        <is>
          <t>PENDIENTE</t>
        </is>
      </c>
      <c r="G75" s="2" t="inlineStr">
        <is>
          <t>SELECCIONAR MERCADO</t>
        </is>
      </c>
      <c r="H75" s="6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2" t="n"/>
      <c r="S75" s="7" t="n"/>
      <c r="T75" s="7">
        <f>IFERROR(1/H75,"")</f>
        <v/>
      </c>
      <c r="U75" s="7">
        <f>IF(OR(S75="",T75=""),"",S75-T75)</f>
        <v/>
      </c>
      <c r="V75" s="7">
        <f>IF(OR(S75="",H75=""),"",S75*H75-1)</f>
        <v/>
      </c>
      <c r="W75" s="2">
        <f>IF(E75="","",ROUND(100*(0.22*I75+0.18*J75+0.18*K75+0.10*L75+0.08*M75+0.06*N75+0.06*O75+0.04*P75+0.04*Q75+0.04*MIN(R75/10,1)),0))</f>
        <v/>
      </c>
      <c r="X75" s="2">
        <f>IF(W75="","",IF(W75&gt;=CONFIG!$B$11,"FUERTE",IF(W75&gt;=CONFIG!$B$12,"MEDIA","BAJA")))</f>
        <v/>
      </c>
      <c r="Y75" s="2">
        <f>IF(OR(H75="",S75=""),"",IF(OR(H75&lt;CONFIG!$B$2,H75&gt;CONFIG!$B$3),"NO APTO",IF(S75&lt;IF(H75&lt;1.6,CONFIG!$B$4,IF(H75&lt;1.7,CONFIG!$B$5,IF(H75&lt;1.8,CONFIG!$B$6,IF(H75&lt;2,CONFIG!$B$7,IF(H75&lt;2.2,CONFIG!$B$8,CONFIG!$B$9))))),"NO APTO",IF(V75&lt;CONFIG!$B$10,"NO APTO",IF(AND(W75&gt;=CONFIG!$B$11,R75&gt;=CONFIG!$B$13),"ALERTA FUERTE",IF(AND(W75&gt;=CONFIG!$B$12,R75&gt;=CONFIG!$B$13),"ALERTA MEDIA","NO APTO"))))))</f>
        <v/>
      </c>
      <c r="Z75" s="2">
        <f>IF(Y75="","",IF(Y75="NO APTO","Revisar cuota/probabilidad/EV/puntuación/muestra",IF(Y75="ALERTA FUERTE","Cumple filtros de cuota + probabilidad + EV + confianza + muestra","Cumple filtros, pero confianza inferior a FUERTE")))</f>
        <v/>
      </c>
    </row>
    <row r="76">
      <c r="A76" s="2">
        <f>IF(E76="","",ROW()-1)</f>
        <v/>
      </c>
      <c r="B76" s="2" t="inlineStr">
        <is>
          <t>2026-08-19</t>
        </is>
      </c>
      <c r="C76" s="2" t="inlineStr">
        <is>
          <t>08:15</t>
        </is>
      </c>
      <c r="D76" s="2" t="inlineStr">
        <is>
          <t>Cup</t>
        </is>
      </c>
      <c r="E76" s="2" t="inlineStr">
        <is>
          <t>Krylia Sovetov vs Zenit</t>
        </is>
      </c>
      <c r="F76" s="2" t="inlineStr">
        <is>
          <t>PENDIENTE</t>
        </is>
      </c>
      <c r="G76" s="2" t="inlineStr">
        <is>
          <t>SELECCIONAR MERCADO</t>
        </is>
      </c>
      <c r="H76" s="6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2" t="n"/>
      <c r="S76" s="7" t="n"/>
      <c r="T76" s="7">
        <f>IFERROR(1/H76,"")</f>
        <v/>
      </c>
      <c r="U76" s="7">
        <f>IF(OR(S76="",T76=""),"",S76-T76)</f>
        <v/>
      </c>
      <c r="V76" s="7">
        <f>IF(OR(S76="",H76=""),"",S76*H76-1)</f>
        <v/>
      </c>
      <c r="W76" s="2">
        <f>IF(E76="","",ROUND(100*(0.22*I76+0.18*J76+0.18*K76+0.10*L76+0.08*M76+0.06*N76+0.06*O76+0.04*P76+0.04*Q76+0.04*MIN(R76/10,1)),0))</f>
        <v/>
      </c>
      <c r="X76" s="2">
        <f>IF(W76="","",IF(W76&gt;=CONFIG!$B$11,"FUERTE",IF(W76&gt;=CONFIG!$B$12,"MEDIA","BAJA")))</f>
        <v/>
      </c>
      <c r="Y76" s="2">
        <f>IF(OR(H76="",S76=""),"",IF(OR(H76&lt;CONFIG!$B$2,H76&gt;CONFIG!$B$3),"NO APTO",IF(S76&lt;IF(H76&lt;1.6,CONFIG!$B$4,IF(H76&lt;1.7,CONFIG!$B$5,IF(H76&lt;1.8,CONFIG!$B$6,IF(H76&lt;2,CONFIG!$B$7,IF(H76&lt;2.2,CONFIG!$B$8,CONFIG!$B$9))))),"NO APTO",IF(V76&lt;CONFIG!$B$10,"NO APTO",IF(AND(W76&gt;=CONFIG!$B$11,R76&gt;=CONFIG!$B$13),"ALERTA FUERTE",IF(AND(W76&gt;=CONFIG!$B$12,R76&gt;=CONFIG!$B$13),"ALERTA MEDIA","NO APTO"))))))</f>
        <v/>
      </c>
      <c r="Z76" s="2">
        <f>IF(Y76="","",IF(Y76="NO APTO","Revisar cuota/probabilidad/EV/puntuación/muestra",IF(Y76="ALERTA FUERTE","Cumple filtros de cuota + probabilidad + EV + confianza + muestra","Cumple filtros, pero confianza inferior a FUERTE")))</f>
        <v/>
      </c>
    </row>
    <row r="77">
      <c r="A77" s="2">
        <f>IF(E77="","",ROW()-1)</f>
        <v/>
      </c>
      <c r="B77" s="2" t="inlineStr">
        <is>
          <t>2026-08-19</t>
        </is>
      </c>
      <c r="C77" s="2" t="inlineStr">
        <is>
          <t>08:15</t>
        </is>
      </c>
      <c r="D77" s="2" t="inlineStr">
        <is>
          <t>Ligi kuu Bara</t>
        </is>
      </c>
      <c r="E77" s="2" t="inlineStr">
        <is>
          <t>Pamba Jiji vs Simba</t>
        </is>
      </c>
      <c r="F77" s="2" t="inlineStr">
        <is>
          <t>PENDIENTE</t>
        </is>
      </c>
      <c r="G77" s="2" t="inlineStr">
        <is>
          <t>SELECCIONAR MERCADO</t>
        </is>
      </c>
      <c r="H77" s="6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2" t="n"/>
      <c r="S77" s="7" t="n"/>
      <c r="T77" s="7">
        <f>IFERROR(1/H77,"")</f>
        <v/>
      </c>
      <c r="U77" s="7">
        <f>IF(OR(S77="",T77=""),"",S77-T77)</f>
        <v/>
      </c>
      <c r="V77" s="7">
        <f>IF(OR(S77="",H77=""),"",S77*H77-1)</f>
        <v/>
      </c>
      <c r="W77" s="2">
        <f>IF(E77="","",ROUND(100*(0.22*I77+0.18*J77+0.18*K77+0.10*L77+0.08*M77+0.06*N77+0.06*O77+0.04*P77+0.04*Q77+0.04*MIN(R77/10,1)),0))</f>
        <v/>
      </c>
      <c r="X77" s="2">
        <f>IF(W77="","",IF(W77&gt;=CONFIG!$B$11,"FUERTE",IF(W77&gt;=CONFIG!$B$12,"MEDIA","BAJA")))</f>
        <v/>
      </c>
      <c r="Y77" s="2">
        <f>IF(OR(H77="",S77=""),"",IF(OR(H77&lt;CONFIG!$B$2,H77&gt;CONFIG!$B$3),"NO APTO",IF(S77&lt;IF(H77&lt;1.6,CONFIG!$B$4,IF(H77&lt;1.7,CONFIG!$B$5,IF(H77&lt;1.8,CONFIG!$B$6,IF(H77&lt;2,CONFIG!$B$7,IF(H77&lt;2.2,CONFIG!$B$8,CONFIG!$B$9))))),"NO APTO",IF(V77&lt;CONFIG!$B$10,"NO APTO",IF(AND(W77&gt;=CONFIG!$B$11,R77&gt;=CONFIG!$B$13),"ALERTA FUERTE",IF(AND(W77&gt;=CONFIG!$B$12,R77&gt;=CONFIG!$B$13),"ALERTA MEDIA","NO APTO"))))))</f>
        <v/>
      </c>
      <c r="Z77" s="2">
        <f>IF(Y77="","",IF(Y77="NO APTO","Revisar cuota/probabilidad/EV/puntuación/muestra",IF(Y77="ALERTA FUERTE","Cumple filtros de cuota + probabilidad + EV + confianza + muestra","Cumple filtros, pero confianza inferior a FUERTE")))</f>
        <v/>
      </c>
    </row>
    <row r="78">
      <c r="A78" s="2">
        <f>IF(E78="","",ROW()-1)</f>
        <v/>
      </c>
      <c r="B78" s="2" t="inlineStr">
        <is>
          <t>2026-08-19</t>
        </is>
      </c>
      <c r="C78" s="2" t="inlineStr">
        <is>
          <t>08:30</t>
        </is>
      </c>
      <c r="D78" s="2" t="inlineStr">
        <is>
          <t>U19 Bundesliga</t>
        </is>
      </c>
      <c r="E78" s="2" t="inlineStr">
        <is>
          <t>Elversberg U19 vs Alemannia Aachen U19</t>
        </is>
      </c>
      <c r="F78" s="2" t="inlineStr">
        <is>
          <t>PENDIENTE</t>
        </is>
      </c>
      <c r="G78" s="2" t="inlineStr">
        <is>
          <t>SELECCIONAR MERCADO</t>
        </is>
      </c>
      <c r="H78" s="6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2" t="n"/>
      <c r="S78" s="7" t="n"/>
      <c r="T78" s="7">
        <f>IFERROR(1/H78,"")</f>
        <v/>
      </c>
      <c r="U78" s="7">
        <f>IF(OR(S78="",T78=""),"",S78-T78)</f>
        <v/>
      </c>
      <c r="V78" s="7">
        <f>IF(OR(S78="",H78=""),"",S78*H78-1)</f>
        <v/>
      </c>
      <c r="W78" s="2">
        <f>IF(E78="","",ROUND(100*(0.22*I78+0.18*J78+0.18*K78+0.10*L78+0.08*M78+0.06*N78+0.06*O78+0.04*P78+0.04*Q78+0.04*MIN(R78/10,1)),0))</f>
        <v/>
      </c>
      <c r="X78" s="2">
        <f>IF(W78="","",IF(W78&gt;=CONFIG!$B$11,"FUERTE",IF(W78&gt;=CONFIG!$B$12,"MEDIA","BAJA")))</f>
        <v/>
      </c>
      <c r="Y78" s="2">
        <f>IF(OR(H78="",S78=""),"",IF(OR(H78&lt;CONFIG!$B$2,H78&gt;CONFIG!$B$3),"NO APTO",IF(S78&lt;IF(H78&lt;1.6,CONFIG!$B$4,IF(H78&lt;1.7,CONFIG!$B$5,IF(H78&lt;1.8,CONFIG!$B$6,IF(H78&lt;2,CONFIG!$B$7,IF(H78&lt;2.2,CONFIG!$B$8,CONFIG!$B$9))))),"NO APTO",IF(V78&lt;CONFIG!$B$10,"NO APTO",IF(AND(W78&gt;=CONFIG!$B$11,R78&gt;=CONFIG!$B$13),"ALERTA FUERTE",IF(AND(W78&gt;=CONFIG!$B$12,R78&gt;=CONFIG!$B$13),"ALERTA MEDIA","NO APTO"))))))</f>
        <v/>
      </c>
      <c r="Z78" s="2">
        <f>IF(Y78="","",IF(Y78="NO APTO","Revisar cuota/probabilidad/EV/puntuación/muestra",IF(Y78="ALERTA FUERTE","Cumple filtros de cuota + probabilidad + EV + confianza + muestra","Cumple filtros, pero confianza inferior a FUERTE")))</f>
        <v/>
      </c>
    </row>
    <row r="79">
      <c r="A79" s="2">
        <f>IF(E79="","",ROW()-1)</f>
        <v/>
      </c>
      <c r="B79" s="2" t="inlineStr">
        <is>
          <t>2026-08-19</t>
        </is>
      </c>
      <c r="C79" s="2" t="inlineStr">
        <is>
          <t>08:45</t>
        </is>
      </c>
      <c r="D79" s="2" t="inlineStr">
        <is>
          <t>Ligue A</t>
        </is>
      </c>
      <c r="E79" s="2" t="inlineStr">
        <is>
          <t>Musongati vs Rukinzo</t>
        </is>
      </c>
      <c r="F79" s="2" t="inlineStr">
        <is>
          <t>PENDIENTE</t>
        </is>
      </c>
      <c r="G79" s="2" t="inlineStr">
        <is>
          <t>SELECCIONAR MERCADO</t>
        </is>
      </c>
      <c r="H79" s="6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2" t="n"/>
      <c r="S79" s="7" t="n"/>
      <c r="T79" s="7">
        <f>IFERROR(1/H79,"")</f>
        <v/>
      </c>
      <c r="U79" s="7">
        <f>IF(OR(S79="",T79=""),"",S79-T79)</f>
        <v/>
      </c>
      <c r="V79" s="7">
        <f>IF(OR(S79="",H79=""),"",S79*H79-1)</f>
        <v/>
      </c>
      <c r="W79" s="2">
        <f>IF(E79="","",ROUND(100*(0.22*I79+0.18*J79+0.18*K79+0.10*L79+0.08*M79+0.06*N79+0.06*O79+0.04*P79+0.04*Q79+0.04*MIN(R79/10,1)),0))</f>
        <v/>
      </c>
      <c r="X79" s="2">
        <f>IF(W79="","",IF(W79&gt;=CONFIG!$B$11,"FUERTE",IF(W79&gt;=CONFIG!$B$12,"MEDIA","BAJA")))</f>
        <v/>
      </c>
      <c r="Y79" s="2">
        <f>IF(OR(H79="",S79=""),"",IF(OR(H79&lt;CONFIG!$B$2,H79&gt;CONFIG!$B$3),"NO APTO",IF(S79&lt;IF(H79&lt;1.6,CONFIG!$B$4,IF(H79&lt;1.7,CONFIG!$B$5,IF(H79&lt;1.8,CONFIG!$B$6,IF(H79&lt;2,CONFIG!$B$7,IF(H79&lt;2.2,CONFIG!$B$8,CONFIG!$B$9))))),"NO APTO",IF(V79&lt;CONFIG!$B$10,"NO APTO",IF(AND(W79&gt;=CONFIG!$B$11,R79&gt;=CONFIG!$B$13),"ALERTA FUERTE",IF(AND(W79&gt;=CONFIG!$B$12,R79&gt;=CONFIG!$B$13),"ALERTA MEDIA","NO APTO"))))))</f>
        <v/>
      </c>
      <c r="Z79" s="2">
        <f>IF(Y79="","",IF(Y79="NO APTO","Revisar cuota/probabilidad/EV/puntuación/muestra",IF(Y79="ALERTA FUERTE","Cumple filtros de cuota + probabilidad + EV + confianza + muestra","Cumple filtros, pero confianza inferior a FUERTE")))</f>
        <v/>
      </c>
    </row>
    <row r="80">
      <c r="A80" s="2">
        <f>IF(E80="","",ROW()-1)</f>
        <v/>
      </c>
      <c r="B80" s="2" t="inlineStr">
        <is>
          <t>2026-08-19</t>
        </is>
      </c>
      <c r="C80" s="2" t="inlineStr">
        <is>
          <t>09:00</t>
        </is>
      </c>
      <c r="D80" s="2" t="inlineStr">
        <is>
          <t>Super League</t>
        </is>
      </c>
      <c r="E80" s="2" t="inlineStr">
        <is>
          <t>Olmaliq vs Dinamo Samarqand</t>
        </is>
      </c>
      <c r="F80" s="2" t="inlineStr">
        <is>
          <t>PENDIENTE</t>
        </is>
      </c>
      <c r="G80" s="2" t="inlineStr">
        <is>
          <t>SELECCIONAR MERCADO</t>
        </is>
      </c>
      <c r="H80" s="6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2" t="n"/>
      <c r="S80" s="7" t="n"/>
      <c r="T80" s="7">
        <f>IFERROR(1/H80,"")</f>
        <v/>
      </c>
      <c r="U80" s="7">
        <f>IF(OR(S80="",T80=""),"",S80-T80)</f>
        <v/>
      </c>
      <c r="V80" s="7">
        <f>IF(OR(S80="",H80=""),"",S80*H80-1)</f>
        <v/>
      </c>
      <c r="W80" s="2">
        <f>IF(E80="","",ROUND(100*(0.22*I80+0.18*J80+0.18*K80+0.10*L80+0.08*M80+0.06*N80+0.06*O80+0.04*P80+0.04*Q80+0.04*MIN(R80/10,1)),0))</f>
        <v/>
      </c>
      <c r="X80" s="2">
        <f>IF(W80="","",IF(W80&gt;=CONFIG!$B$11,"FUERTE",IF(W80&gt;=CONFIG!$B$12,"MEDIA","BAJA")))</f>
        <v/>
      </c>
      <c r="Y80" s="2">
        <f>IF(OR(H80="",S80=""),"",IF(OR(H80&lt;CONFIG!$B$2,H80&gt;CONFIG!$B$3),"NO APTO",IF(S80&lt;IF(H80&lt;1.6,CONFIG!$B$4,IF(H80&lt;1.7,CONFIG!$B$5,IF(H80&lt;1.8,CONFIG!$B$6,IF(H80&lt;2,CONFIG!$B$7,IF(H80&lt;2.2,CONFIG!$B$8,CONFIG!$B$9))))),"NO APTO",IF(V80&lt;CONFIG!$B$10,"NO APTO",IF(AND(W80&gt;=CONFIG!$B$11,R80&gt;=CONFIG!$B$13),"ALERTA FUERTE",IF(AND(W80&gt;=CONFIG!$B$12,R80&gt;=CONFIG!$B$13),"ALERTA MEDIA","NO APTO"))))))</f>
        <v/>
      </c>
      <c r="Z80" s="2">
        <f>IF(Y80="","",IF(Y80="NO APTO","Revisar cuota/probabilidad/EV/puntuación/muestra",IF(Y80="ALERTA FUERTE","Cumple filtros de cuota + probabilidad + EV + confianza + muestra","Cumple filtros, pero confianza inferior a FUERTE")))</f>
        <v/>
      </c>
    </row>
    <row r="81">
      <c r="A81" s="2">
        <f>IF(E81="","",ROW()-1)</f>
        <v/>
      </c>
      <c r="B81" s="2" t="inlineStr">
        <is>
          <t>2026-08-19</t>
        </is>
      </c>
      <c r="C81" s="2" t="inlineStr">
        <is>
          <t>09:00</t>
        </is>
      </c>
      <c r="D81" s="2" t="inlineStr">
        <is>
          <t>Cup</t>
        </is>
      </c>
      <c r="E81" s="2" t="inlineStr">
        <is>
          <t>Zhenys vs Kaisar</t>
        </is>
      </c>
      <c r="F81" s="2" t="inlineStr">
        <is>
          <t>PENDIENTE</t>
        </is>
      </c>
      <c r="G81" s="2" t="inlineStr">
        <is>
          <t>SELECCIONAR MERCADO</t>
        </is>
      </c>
      <c r="H81" s="6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2" t="n"/>
      <c r="S81" s="7" t="n"/>
      <c r="T81" s="7">
        <f>IFERROR(1/H81,"")</f>
        <v/>
      </c>
      <c r="U81" s="7">
        <f>IF(OR(S81="",T81=""),"",S81-T81)</f>
        <v/>
      </c>
      <c r="V81" s="7">
        <f>IF(OR(S81="",H81=""),"",S81*H81-1)</f>
        <v/>
      </c>
      <c r="W81" s="2">
        <f>IF(E81="","",ROUND(100*(0.22*I81+0.18*J81+0.18*K81+0.10*L81+0.08*M81+0.06*N81+0.06*O81+0.04*P81+0.04*Q81+0.04*MIN(R81/10,1)),0))</f>
        <v/>
      </c>
      <c r="X81" s="2">
        <f>IF(W81="","",IF(W81&gt;=CONFIG!$B$11,"FUERTE",IF(W81&gt;=CONFIG!$B$12,"MEDIA","BAJA")))</f>
        <v/>
      </c>
      <c r="Y81" s="2">
        <f>IF(OR(H81="",S81=""),"",IF(OR(H81&lt;CONFIG!$B$2,H81&gt;CONFIG!$B$3),"NO APTO",IF(S81&lt;IF(H81&lt;1.6,CONFIG!$B$4,IF(H81&lt;1.7,CONFIG!$B$5,IF(H81&lt;1.8,CONFIG!$B$6,IF(H81&lt;2,CONFIG!$B$7,IF(H81&lt;2.2,CONFIG!$B$8,CONFIG!$B$9))))),"NO APTO",IF(V81&lt;CONFIG!$B$10,"NO APTO",IF(AND(W81&gt;=CONFIG!$B$11,R81&gt;=CONFIG!$B$13),"ALERTA FUERTE",IF(AND(W81&gt;=CONFIG!$B$12,R81&gt;=CONFIG!$B$13),"ALERTA MEDIA","NO APTO"))))))</f>
        <v/>
      </c>
      <c r="Z81" s="2">
        <f>IF(Y81="","",IF(Y81="NO APTO","Revisar cuota/probabilidad/EV/puntuación/muestra",IF(Y81="ALERTA FUERTE","Cumple filtros de cuota + probabilidad + EV + confianza + muestra","Cumple filtros, pero confianza inferior a FUERTE")))</f>
        <v/>
      </c>
    </row>
    <row r="82">
      <c r="A82" s="2">
        <f>IF(E82="","",ROW()-1)</f>
        <v/>
      </c>
      <c r="B82" s="2" t="inlineStr">
        <is>
          <t>2026-08-19</t>
        </is>
      </c>
      <c r="C82" s="2" t="inlineStr">
        <is>
          <t>09:00</t>
        </is>
      </c>
      <c r="D82" s="2" t="inlineStr">
        <is>
          <t>III Liga - Group 3</t>
        </is>
      </c>
      <c r="E82" s="2" t="inlineStr">
        <is>
          <t>Miedź Legnica II vs Odra Bytom Odrzański</t>
        </is>
      </c>
      <c r="F82" s="2" t="inlineStr">
        <is>
          <t>PENDIENTE</t>
        </is>
      </c>
      <c r="G82" s="2" t="inlineStr">
        <is>
          <t>SELECCIONAR MERCADO</t>
        </is>
      </c>
      <c r="H82" s="6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2" t="n"/>
      <c r="S82" s="7" t="n"/>
      <c r="T82" s="7">
        <f>IFERROR(1/H82,"")</f>
        <v/>
      </c>
      <c r="U82" s="7">
        <f>IF(OR(S82="",T82=""),"",S82-T82)</f>
        <v/>
      </c>
      <c r="V82" s="7">
        <f>IF(OR(S82="",H82=""),"",S82*H82-1)</f>
        <v/>
      </c>
      <c r="W82" s="2">
        <f>IF(E82="","",ROUND(100*(0.22*I82+0.18*J82+0.18*K82+0.10*L82+0.08*M82+0.06*N82+0.06*O82+0.04*P82+0.04*Q82+0.04*MIN(R82/10,1)),0))</f>
        <v/>
      </c>
      <c r="X82" s="2">
        <f>IF(W82="","",IF(W82&gt;=CONFIG!$B$11,"FUERTE",IF(W82&gt;=CONFIG!$B$12,"MEDIA","BAJA")))</f>
        <v/>
      </c>
      <c r="Y82" s="2">
        <f>IF(OR(H82="",S82=""),"",IF(OR(H82&lt;CONFIG!$B$2,H82&gt;CONFIG!$B$3),"NO APTO",IF(S82&lt;IF(H82&lt;1.6,CONFIG!$B$4,IF(H82&lt;1.7,CONFIG!$B$5,IF(H82&lt;1.8,CONFIG!$B$6,IF(H82&lt;2,CONFIG!$B$7,IF(H82&lt;2.2,CONFIG!$B$8,CONFIG!$B$9))))),"NO APTO",IF(V82&lt;CONFIG!$B$10,"NO APTO",IF(AND(W82&gt;=CONFIG!$B$11,R82&gt;=CONFIG!$B$13),"ALERTA FUERTE",IF(AND(W82&gt;=CONFIG!$B$12,R82&gt;=CONFIG!$B$13),"ALERTA MEDIA","NO APTO"))))))</f>
        <v/>
      </c>
      <c r="Z82" s="2">
        <f>IF(Y82="","",IF(Y82="NO APTO","Revisar cuota/probabilidad/EV/puntuación/muestra",IF(Y82="ALERTA FUERTE","Cumple filtros de cuota + probabilidad + EV + confianza + muestra","Cumple filtros, pero confianza inferior a FUERTE")))</f>
        <v/>
      </c>
    </row>
    <row r="83">
      <c r="A83" s="2">
        <f>IF(E83="","",ROW()-1)</f>
        <v/>
      </c>
      <c r="B83" s="2" t="inlineStr">
        <is>
          <t>2026-08-19</t>
        </is>
      </c>
      <c r="C83" s="2" t="inlineStr">
        <is>
          <t>09:00</t>
        </is>
      </c>
      <c r="D83" s="2" t="inlineStr">
        <is>
          <t>U19 Bundesliga</t>
        </is>
      </c>
      <c r="E83" s="2" t="inlineStr">
        <is>
          <t>Babelsberg U19 vs Union Berlin U19</t>
        </is>
      </c>
      <c r="F83" s="2" t="inlineStr">
        <is>
          <t>PENDIENTE</t>
        </is>
      </c>
      <c r="G83" s="2" t="inlineStr">
        <is>
          <t>SELECCIONAR MERCADO</t>
        </is>
      </c>
      <c r="H83" s="6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2" t="n"/>
      <c r="S83" s="7" t="n"/>
      <c r="T83" s="7">
        <f>IFERROR(1/H83,"")</f>
        <v/>
      </c>
      <c r="U83" s="7">
        <f>IF(OR(S83="",T83=""),"",S83-T83)</f>
        <v/>
      </c>
      <c r="V83" s="7">
        <f>IF(OR(S83="",H83=""),"",S83*H83-1)</f>
        <v/>
      </c>
      <c r="W83" s="2">
        <f>IF(E83="","",ROUND(100*(0.22*I83+0.18*J83+0.18*K83+0.10*L83+0.08*M83+0.06*N83+0.06*O83+0.04*P83+0.04*Q83+0.04*MIN(R83/10,1)),0))</f>
        <v/>
      </c>
      <c r="X83" s="2">
        <f>IF(W83="","",IF(W83&gt;=CONFIG!$B$11,"FUERTE",IF(W83&gt;=CONFIG!$B$12,"MEDIA","BAJA")))</f>
        <v/>
      </c>
      <c r="Y83" s="2">
        <f>IF(OR(H83="",S83=""),"",IF(OR(H83&lt;CONFIG!$B$2,H83&gt;CONFIG!$B$3),"NO APTO",IF(S83&lt;IF(H83&lt;1.6,CONFIG!$B$4,IF(H83&lt;1.7,CONFIG!$B$5,IF(H83&lt;1.8,CONFIG!$B$6,IF(H83&lt;2,CONFIG!$B$7,IF(H83&lt;2.2,CONFIG!$B$8,CONFIG!$B$9))))),"NO APTO",IF(V83&lt;CONFIG!$B$10,"NO APTO",IF(AND(W83&gt;=CONFIG!$B$11,R83&gt;=CONFIG!$B$13),"ALERTA FUERTE",IF(AND(W83&gt;=CONFIG!$B$12,R83&gt;=CONFIG!$B$13),"ALERTA MEDIA","NO APTO"))))))</f>
        <v/>
      </c>
      <c r="Z83" s="2">
        <f>IF(Y83="","",IF(Y83="NO APTO","Revisar cuota/probabilidad/EV/puntuación/muestra",IF(Y83="ALERTA FUERTE","Cumple filtros de cuota + probabilidad + EV + confianza + muestra","Cumple filtros, pero confianza inferior a FUERTE")))</f>
        <v/>
      </c>
    </row>
    <row r="84">
      <c r="A84" s="2">
        <f>IF(E84="","",ROW()-1)</f>
        <v/>
      </c>
      <c r="B84" s="2" t="inlineStr">
        <is>
          <t>2026-08-19</t>
        </is>
      </c>
      <c r="C84" s="2" t="inlineStr">
        <is>
          <t>09:00</t>
        </is>
      </c>
      <c r="D84" s="2" t="inlineStr">
        <is>
          <t>U19 Bundesliga</t>
        </is>
      </c>
      <c r="E84" s="2" t="inlineStr">
        <is>
          <t>Carl Zeiss Jena U19 vs Hertha BSC U19</t>
        </is>
      </c>
      <c r="F84" s="2" t="inlineStr">
        <is>
          <t>PENDIENTE</t>
        </is>
      </c>
      <c r="G84" s="2" t="inlineStr">
        <is>
          <t>SELECCIONAR MERCADO</t>
        </is>
      </c>
      <c r="H84" s="6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2" t="n"/>
      <c r="S84" s="7" t="n"/>
      <c r="T84" s="7">
        <f>IFERROR(1/H84,"")</f>
        <v/>
      </c>
      <c r="U84" s="7">
        <f>IF(OR(S84="",T84=""),"",S84-T84)</f>
        <v/>
      </c>
      <c r="V84" s="7">
        <f>IF(OR(S84="",H84=""),"",S84*H84-1)</f>
        <v/>
      </c>
      <c r="W84" s="2">
        <f>IF(E84="","",ROUND(100*(0.22*I84+0.18*J84+0.18*K84+0.10*L84+0.08*M84+0.06*N84+0.06*O84+0.04*P84+0.04*Q84+0.04*MIN(R84/10,1)),0))</f>
        <v/>
      </c>
      <c r="X84" s="2">
        <f>IF(W84="","",IF(W84&gt;=CONFIG!$B$11,"FUERTE",IF(W84&gt;=CONFIG!$B$12,"MEDIA","BAJA")))</f>
        <v/>
      </c>
      <c r="Y84" s="2">
        <f>IF(OR(H84="",S84=""),"",IF(OR(H84&lt;CONFIG!$B$2,H84&gt;CONFIG!$B$3),"NO APTO",IF(S84&lt;IF(H84&lt;1.6,CONFIG!$B$4,IF(H84&lt;1.7,CONFIG!$B$5,IF(H84&lt;1.8,CONFIG!$B$6,IF(H84&lt;2,CONFIG!$B$7,IF(H84&lt;2.2,CONFIG!$B$8,CONFIG!$B$9))))),"NO APTO",IF(V84&lt;CONFIG!$B$10,"NO APTO",IF(AND(W84&gt;=CONFIG!$B$11,R84&gt;=CONFIG!$B$13),"ALERTA FUERTE",IF(AND(W84&gt;=CONFIG!$B$12,R84&gt;=CONFIG!$B$13),"ALERTA MEDIA","NO APTO"))))))</f>
        <v/>
      </c>
      <c r="Z84" s="2">
        <f>IF(Y84="","",IF(Y84="NO APTO","Revisar cuota/probabilidad/EV/puntuación/muestra",IF(Y84="ALERTA FUERTE","Cumple filtros de cuota + probabilidad + EV + confianza + muestra","Cumple filtros, pero confianza inferior a FUERTE")))</f>
        <v/>
      </c>
    </row>
    <row r="85">
      <c r="A85" s="2">
        <f>IF(E85="","",ROW()-1)</f>
        <v/>
      </c>
      <c r="B85" s="2" t="inlineStr">
        <is>
          <t>2026-08-19</t>
        </is>
      </c>
      <c r="C85" s="2" t="inlineStr">
        <is>
          <t>09:00</t>
        </is>
      </c>
      <c r="D85" s="2" t="inlineStr">
        <is>
          <t>Cup</t>
        </is>
      </c>
      <c r="E85" s="2" t="inlineStr">
        <is>
          <t>Nestos Chrisoupolis vs Apollon Pontou</t>
        </is>
      </c>
      <c r="F85" s="2" t="inlineStr">
        <is>
          <t>PENDIENTE</t>
        </is>
      </c>
      <c r="G85" s="2" t="inlineStr">
        <is>
          <t>SELECCIONAR MERCADO</t>
        </is>
      </c>
      <c r="H85" s="6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2" t="n"/>
      <c r="S85" s="7" t="n"/>
      <c r="T85" s="7">
        <f>IFERROR(1/H85,"")</f>
        <v/>
      </c>
      <c r="U85" s="7">
        <f>IF(OR(S85="",T85=""),"",S85-T85)</f>
        <v/>
      </c>
      <c r="V85" s="7">
        <f>IF(OR(S85="",H85=""),"",S85*H85-1)</f>
        <v/>
      </c>
      <c r="W85" s="2">
        <f>IF(E85="","",ROUND(100*(0.22*I85+0.18*J85+0.18*K85+0.10*L85+0.08*M85+0.06*N85+0.06*O85+0.04*P85+0.04*Q85+0.04*MIN(R85/10,1)),0))</f>
        <v/>
      </c>
      <c r="X85" s="2">
        <f>IF(W85="","",IF(W85&gt;=CONFIG!$B$11,"FUERTE",IF(W85&gt;=CONFIG!$B$12,"MEDIA","BAJA")))</f>
        <v/>
      </c>
      <c r="Y85" s="2">
        <f>IF(OR(H85="",S85=""),"",IF(OR(H85&lt;CONFIG!$B$2,H85&gt;CONFIG!$B$3),"NO APTO",IF(S85&lt;IF(H85&lt;1.6,CONFIG!$B$4,IF(H85&lt;1.7,CONFIG!$B$5,IF(H85&lt;1.8,CONFIG!$B$6,IF(H85&lt;2,CONFIG!$B$7,IF(H85&lt;2.2,CONFIG!$B$8,CONFIG!$B$9))))),"NO APTO",IF(V85&lt;CONFIG!$B$10,"NO APTO",IF(AND(W85&gt;=CONFIG!$B$11,R85&gt;=CONFIG!$B$13),"ALERTA FUERTE",IF(AND(W85&gt;=CONFIG!$B$12,R85&gt;=CONFIG!$B$13),"ALERTA MEDIA","NO APTO"))))))</f>
        <v/>
      </c>
      <c r="Z85" s="2">
        <f>IF(Y85="","",IF(Y85="NO APTO","Revisar cuota/probabilidad/EV/puntuación/muestra",IF(Y85="ALERTA FUERTE","Cumple filtros de cuota + probabilidad + EV + confianza + muestra","Cumple filtros, pero confianza inferior a FUERTE")))</f>
        <v/>
      </c>
    </row>
    <row r="86">
      <c r="A86" s="2">
        <f>IF(E86="","",ROW()-1)</f>
        <v/>
      </c>
      <c r="B86" s="2" t="inlineStr">
        <is>
          <t>2026-08-19</t>
        </is>
      </c>
      <c r="C86" s="2" t="inlineStr">
        <is>
          <t>09:00</t>
        </is>
      </c>
      <c r="D86" s="2" t="inlineStr">
        <is>
          <t>Cup</t>
        </is>
      </c>
      <c r="E86" s="2" t="inlineStr">
        <is>
          <t>Niki Volos vs Panionios</t>
        </is>
      </c>
      <c r="F86" s="2" t="inlineStr">
        <is>
          <t>PENDIENTE</t>
        </is>
      </c>
      <c r="G86" s="2" t="inlineStr">
        <is>
          <t>SELECCIONAR MERCADO</t>
        </is>
      </c>
      <c r="H86" s="6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2" t="n"/>
      <c r="S86" s="7" t="n"/>
      <c r="T86" s="7">
        <f>IFERROR(1/H86,"")</f>
        <v/>
      </c>
      <c r="U86" s="7">
        <f>IF(OR(S86="",T86=""),"",S86-T86)</f>
        <v/>
      </c>
      <c r="V86" s="7">
        <f>IF(OR(S86="",H86=""),"",S86*H86-1)</f>
        <v/>
      </c>
      <c r="W86" s="2">
        <f>IF(E86="","",ROUND(100*(0.22*I86+0.18*J86+0.18*K86+0.10*L86+0.08*M86+0.06*N86+0.06*O86+0.04*P86+0.04*Q86+0.04*MIN(R86/10,1)),0))</f>
        <v/>
      </c>
      <c r="X86" s="2">
        <f>IF(W86="","",IF(W86&gt;=CONFIG!$B$11,"FUERTE",IF(W86&gt;=CONFIG!$B$12,"MEDIA","BAJA")))</f>
        <v/>
      </c>
      <c r="Y86" s="2">
        <f>IF(OR(H86="",S86=""),"",IF(OR(H86&lt;CONFIG!$B$2,H86&gt;CONFIG!$B$3),"NO APTO",IF(S86&lt;IF(H86&lt;1.6,CONFIG!$B$4,IF(H86&lt;1.7,CONFIG!$B$5,IF(H86&lt;1.8,CONFIG!$B$6,IF(H86&lt;2,CONFIG!$B$7,IF(H86&lt;2.2,CONFIG!$B$8,CONFIG!$B$9))))),"NO APTO",IF(V86&lt;CONFIG!$B$10,"NO APTO",IF(AND(W86&gt;=CONFIG!$B$11,R86&gt;=CONFIG!$B$13),"ALERTA FUERTE",IF(AND(W86&gt;=CONFIG!$B$12,R86&gt;=CONFIG!$B$13),"ALERTA MEDIA","NO APTO"))))))</f>
        <v/>
      </c>
      <c r="Z86" s="2">
        <f>IF(Y86="","",IF(Y86="NO APTO","Revisar cuota/probabilidad/EV/puntuación/muestra",IF(Y86="ALERTA FUERTE","Cumple filtros de cuota + probabilidad + EV + confianza + muestra","Cumple filtros, pero confianza inferior a FUERTE")))</f>
        <v/>
      </c>
    </row>
    <row r="87">
      <c r="A87" s="2">
        <f>IF(E87="","",ROW()-1)</f>
        <v/>
      </c>
      <c r="B87" s="2" t="inlineStr">
        <is>
          <t>2026-08-19</t>
        </is>
      </c>
      <c r="C87" s="2" t="inlineStr">
        <is>
          <t>09:00</t>
        </is>
      </c>
      <c r="D87" s="2" t="inlineStr">
        <is>
          <t>Cup</t>
        </is>
      </c>
      <c r="E87" s="2" t="inlineStr">
        <is>
          <t>Zakynthos vs Kifisia</t>
        </is>
      </c>
      <c r="F87" s="2" t="inlineStr">
        <is>
          <t>PENDIENTE</t>
        </is>
      </c>
      <c r="G87" s="2" t="inlineStr">
        <is>
          <t>SELECCIONAR MERCADO</t>
        </is>
      </c>
      <c r="H87" s="6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2" t="n"/>
      <c r="S87" s="7" t="n"/>
      <c r="T87" s="7">
        <f>IFERROR(1/H87,"")</f>
        <v/>
      </c>
      <c r="U87" s="7">
        <f>IF(OR(S87="",T87=""),"",S87-T87)</f>
        <v/>
      </c>
      <c r="V87" s="7">
        <f>IF(OR(S87="",H87=""),"",S87*H87-1)</f>
        <v/>
      </c>
      <c r="W87" s="2">
        <f>IF(E87="","",ROUND(100*(0.22*I87+0.18*J87+0.18*K87+0.10*L87+0.08*M87+0.06*N87+0.06*O87+0.04*P87+0.04*Q87+0.04*MIN(R87/10,1)),0))</f>
        <v/>
      </c>
      <c r="X87" s="2">
        <f>IF(W87="","",IF(W87&gt;=CONFIG!$B$11,"FUERTE",IF(W87&gt;=CONFIG!$B$12,"MEDIA","BAJA")))</f>
        <v/>
      </c>
      <c r="Y87" s="2">
        <f>IF(OR(H87="",S87=""),"",IF(OR(H87&lt;CONFIG!$B$2,H87&gt;CONFIG!$B$3),"NO APTO",IF(S87&lt;IF(H87&lt;1.6,CONFIG!$B$4,IF(H87&lt;1.7,CONFIG!$B$5,IF(H87&lt;1.8,CONFIG!$B$6,IF(H87&lt;2,CONFIG!$B$7,IF(H87&lt;2.2,CONFIG!$B$8,CONFIG!$B$9))))),"NO APTO",IF(V87&lt;CONFIG!$B$10,"NO APTO",IF(AND(W87&gt;=CONFIG!$B$11,R87&gt;=CONFIG!$B$13),"ALERTA FUERTE",IF(AND(W87&gt;=CONFIG!$B$12,R87&gt;=CONFIG!$B$13),"ALERTA MEDIA","NO APTO"))))))</f>
        <v/>
      </c>
      <c r="Z87" s="2">
        <f>IF(Y87="","",IF(Y87="NO APTO","Revisar cuota/probabilidad/EV/puntuación/muestra",IF(Y87="ALERTA FUERTE","Cumple filtros de cuota + probabilidad + EV + confianza + muestra","Cumple filtros, pero confianza inferior a FUERTE")))</f>
        <v/>
      </c>
    </row>
    <row r="88">
      <c r="A88" s="2">
        <f>IF(E88="","",ROW()-1)</f>
        <v/>
      </c>
      <c r="B88" s="2" t="inlineStr">
        <is>
          <t>2026-08-19</t>
        </is>
      </c>
      <c r="C88" s="2" t="inlineStr">
        <is>
          <t>09:15</t>
        </is>
      </c>
      <c r="D88" s="2" t="inlineStr">
        <is>
          <t>Cup</t>
        </is>
      </c>
      <c r="E88" s="2" t="inlineStr">
        <is>
          <t>Kalamata vs Panetolikos</t>
        </is>
      </c>
      <c r="F88" s="2" t="inlineStr">
        <is>
          <t>PENDIENTE</t>
        </is>
      </c>
      <c r="G88" s="2" t="inlineStr">
        <is>
          <t>SELECCIONAR MERCADO</t>
        </is>
      </c>
      <c r="H88" s="6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2" t="n"/>
      <c r="S88" s="7" t="n"/>
      <c r="T88" s="7">
        <f>IFERROR(1/H88,"")</f>
        <v/>
      </c>
      <c r="U88" s="7">
        <f>IF(OR(S88="",T88=""),"",S88-T88)</f>
        <v/>
      </c>
      <c r="V88" s="7">
        <f>IF(OR(S88="",H88=""),"",S88*H88-1)</f>
        <v/>
      </c>
      <c r="W88" s="2">
        <f>IF(E88="","",ROUND(100*(0.22*I88+0.18*J88+0.18*K88+0.10*L88+0.08*M88+0.06*N88+0.06*O88+0.04*P88+0.04*Q88+0.04*MIN(R88/10,1)),0))</f>
        <v/>
      </c>
      <c r="X88" s="2">
        <f>IF(W88="","",IF(W88&gt;=CONFIG!$B$11,"FUERTE",IF(W88&gt;=CONFIG!$B$12,"MEDIA","BAJA")))</f>
        <v/>
      </c>
      <c r="Y88" s="2">
        <f>IF(OR(H88="",S88=""),"",IF(OR(H88&lt;CONFIG!$B$2,H88&gt;CONFIG!$B$3),"NO APTO",IF(S88&lt;IF(H88&lt;1.6,CONFIG!$B$4,IF(H88&lt;1.7,CONFIG!$B$5,IF(H88&lt;1.8,CONFIG!$B$6,IF(H88&lt;2,CONFIG!$B$7,IF(H88&lt;2.2,CONFIG!$B$8,CONFIG!$B$9))))),"NO APTO",IF(V88&lt;CONFIG!$B$10,"NO APTO",IF(AND(W88&gt;=CONFIG!$B$11,R88&gt;=CONFIG!$B$13),"ALERTA FUERTE",IF(AND(W88&gt;=CONFIG!$B$12,R88&gt;=CONFIG!$B$13),"ALERTA MEDIA","NO APTO"))))))</f>
        <v/>
      </c>
      <c r="Z88" s="2">
        <f>IF(Y88="","",IF(Y88="NO APTO","Revisar cuota/probabilidad/EV/puntuación/muestra",IF(Y88="ALERTA FUERTE","Cumple filtros de cuota + probabilidad + EV + confianza + muestra","Cumple filtros, pero confianza inferior a FUERTE")))</f>
        <v/>
      </c>
    </row>
    <row r="89">
      <c r="A89" s="2">
        <f>IF(E89="","",ROW()-1)</f>
        <v/>
      </c>
      <c r="B89" s="2" t="inlineStr">
        <is>
          <t>2026-08-19</t>
        </is>
      </c>
      <c r="C89" s="2" t="inlineStr">
        <is>
          <t>09:30</t>
        </is>
      </c>
      <c r="D89" s="2" t="inlineStr">
        <is>
          <t>III Liga - Group 4</t>
        </is>
      </c>
      <c r="E89" s="2" t="inlineStr">
        <is>
          <t>Pogoń-Sokół Lubaczów vs Wisła Kraków II</t>
        </is>
      </c>
      <c r="F89" s="2" t="inlineStr">
        <is>
          <t>PENDIENTE</t>
        </is>
      </c>
      <c r="G89" s="2" t="inlineStr">
        <is>
          <t>SELECCIONAR MERCADO</t>
        </is>
      </c>
      <c r="H89" s="6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2" t="n"/>
      <c r="S89" s="7" t="n"/>
      <c r="T89" s="7">
        <f>IFERROR(1/H89,"")</f>
        <v/>
      </c>
      <c r="U89" s="7">
        <f>IF(OR(S89="",T89=""),"",S89-T89)</f>
        <v/>
      </c>
      <c r="V89" s="7">
        <f>IF(OR(S89="",H89=""),"",S89*H89-1)</f>
        <v/>
      </c>
      <c r="W89" s="2">
        <f>IF(E89="","",ROUND(100*(0.22*I89+0.18*J89+0.18*K89+0.10*L89+0.08*M89+0.06*N89+0.06*O89+0.04*P89+0.04*Q89+0.04*MIN(R89/10,1)),0))</f>
        <v/>
      </c>
      <c r="X89" s="2">
        <f>IF(W89="","",IF(W89&gt;=CONFIG!$B$11,"FUERTE",IF(W89&gt;=CONFIG!$B$12,"MEDIA","BAJA")))</f>
        <v/>
      </c>
      <c r="Y89" s="2">
        <f>IF(OR(H89="",S89=""),"",IF(OR(H89&lt;CONFIG!$B$2,H89&gt;CONFIG!$B$3),"NO APTO",IF(S89&lt;IF(H89&lt;1.6,CONFIG!$B$4,IF(H89&lt;1.7,CONFIG!$B$5,IF(H89&lt;1.8,CONFIG!$B$6,IF(H89&lt;2,CONFIG!$B$7,IF(H89&lt;2.2,CONFIG!$B$8,CONFIG!$B$9))))),"NO APTO",IF(V89&lt;CONFIG!$B$10,"NO APTO",IF(AND(W89&gt;=CONFIG!$B$11,R89&gt;=CONFIG!$B$13),"ALERTA FUERTE",IF(AND(W89&gt;=CONFIG!$B$12,R89&gt;=CONFIG!$B$13),"ALERTA MEDIA","NO APTO"))))))</f>
        <v/>
      </c>
      <c r="Z89" s="2">
        <f>IF(Y89="","",IF(Y89="NO APTO","Revisar cuota/probabilidad/EV/puntuación/muestra",IF(Y89="ALERTA FUERTE","Cumple filtros de cuota + probabilidad + EV + confianza + muestra","Cumple filtros, pero confianza inferior a FUERTE")))</f>
        <v/>
      </c>
    </row>
    <row r="90">
      <c r="A90" s="2">
        <f>IF(E90="","",ROW()-1)</f>
        <v/>
      </c>
      <c r="B90" s="2" t="inlineStr">
        <is>
          <t>2026-08-19</t>
        </is>
      </c>
      <c r="C90" s="2" t="inlineStr">
        <is>
          <t>09:30</t>
        </is>
      </c>
      <c r="D90" s="2" t="inlineStr">
        <is>
          <t>III Liga - Group 1</t>
        </is>
      </c>
      <c r="E90" s="2" t="inlineStr">
        <is>
          <t>Jagiellonia II vs Pelikan Łowicz</t>
        </is>
      </c>
      <c r="F90" s="2" t="inlineStr">
        <is>
          <t>PENDIENTE</t>
        </is>
      </c>
      <c r="G90" s="2" t="inlineStr">
        <is>
          <t>SELECCIONAR MERCADO</t>
        </is>
      </c>
      <c r="H90" s="6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2" t="n"/>
      <c r="S90" s="7" t="n"/>
      <c r="T90" s="7">
        <f>IFERROR(1/H90,"")</f>
        <v/>
      </c>
      <c r="U90" s="7">
        <f>IF(OR(S90="",T90=""),"",S90-T90)</f>
        <v/>
      </c>
      <c r="V90" s="7">
        <f>IF(OR(S90="",H90=""),"",S90*H90-1)</f>
        <v/>
      </c>
      <c r="W90" s="2">
        <f>IF(E90="","",ROUND(100*(0.22*I90+0.18*J90+0.18*K90+0.10*L90+0.08*M90+0.06*N90+0.06*O90+0.04*P90+0.04*Q90+0.04*MIN(R90/10,1)),0))</f>
        <v/>
      </c>
      <c r="X90" s="2">
        <f>IF(W90="","",IF(W90&gt;=CONFIG!$B$11,"FUERTE",IF(W90&gt;=CONFIG!$B$12,"MEDIA","BAJA")))</f>
        <v/>
      </c>
      <c r="Y90" s="2">
        <f>IF(OR(H90="",S90=""),"",IF(OR(H90&lt;CONFIG!$B$2,H90&gt;CONFIG!$B$3),"NO APTO",IF(S90&lt;IF(H90&lt;1.6,CONFIG!$B$4,IF(H90&lt;1.7,CONFIG!$B$5,IF(H90&lt;1.8,CONFIG!$B$6,IF(H90&lt;2,CONFIG!$B$7,IF(H90&lt;2.2,CONFIG!$B$8,CONFIG!$B$9))))),"NO APTO",IF(V90&lt;CONFIG!$B$10,"NO APTO",IF(AND(W90&gt;=CONFIG!$B$11,R90&gt;=CONFIG!$B$13),"ALERTA FUERTE",IF(AND(W90&gt;=CONFIG!$B$12,R90&gt;=CONFIG!$B$13),"ALERTA MEDIA","NO APTO"))))))</f>
        <v/>
      </c>
      <c r="Z90" s="2">
        <f>IF(Y90="","",IF(Y90="NO APTO","Revisar cuota/probabilidad/EV/puntuación/muestra",IF(Y90="ALERTA FUERTE","Cumple filtros de cuota + probabilidad + EV + confianza + muestra","Cumple filtros, pero confianza inferior a FUERTE")))</f>
        <v/>
      </c>
    </row>
    <row r="91">
      <c r="A91" s="2">
        <f>IF(E91="","",ROW()-1)</f>
        <v/>
      </c>
      <c r="B91" s="2" t="inlineStr">
        <is>
          <t>2026-08-19</t>
        </is>
      </c>
      <c r="C91" s="2" t="inlineStr">
        <is>
          <t>09:30</t>
        </is>
      </c>
      <c r="D91" s="2" t="inlineStr">
        <is>
          <t>U19 Bundesliga</t>
        </is>
      </c>
      <c r="E91" s="2" t="inlineStr">
        <is>
          <t>Wolfsburg U19 vs Preußen Münster U19</t>
        </is>
      </c>
      <c r="F91" s="2" t="inlineStr">
        <is>
          <t>PENDIENTE</t>
        </is>
      </c>
      <c r="G91" s="2" t="inlineStr">
        <is>
          <t>SELECCIONAR MERCADO</t>
        </is>
      </c>
      <c r="H91" s="6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2" t="n"/>
      <c r="S91" s="7" t="n"/>
      <c r="T91" s="7">
        <f>IFERROR(1/H91,"")</f>
        <v/>
      </c>
      <c r="U91" s="7">
        <f>IF(OR(S91="",T91=""),"",S91-T91)</f>
        <v/>
      </c>
      <c r="V91" s="7">
        <f>IF(OR(S91="",H91=""),"",S91*H91-1)</f>
        <v/>
      </c>
      <c r="W91" s="2">
        <f>IF(E91="","",ROUND(100*(0.22*I91+0.18*J91+0.18*K91+0.10*L91+0.08*M91+0.06*N91+0.06*O91+0.04*P91+0.04*Q91+0.04*MIN(R91/10,1)),0))</f>
        <v/>
      </c>
      <c r="X91" s="2">
        <f>IF(W91="","",IF(W91&gt;=CONFIG!$B$11,"FUERTE",IF(W91&gt;=CONFIG!$B$12,"MEDIA","BAJA")))</f>
        <v/>
      </c>
      <c r="Y91" s="2">
        <f>IF(OR(H91="",S91=""),"",IF(OR(H91&lt;CONFIG!$B$2,H91&gt;CONFIG!$B$3),"NO APTO",IF(S91&lt;IF(H91&lt;1.6,CONFIG!$B$4,IF(H91&lt;1.7,CONFIG!$B$5,IF(H91&lt;1.8,CONFIG!$B$6,IF(H91&lt;2,CONFIG!$B$7,IF(H91&lt;2.2,CONFIG!$B$8,CONFIG!$B$9))))),"NO APTO",IF(V91&lt;CONFIG!$B$10,"NO APTO",IF(AND(W91&gt;=CONFIG!$B$11,R91&gt;=CONFIG!$B$13),"ALERTA FUERTE",IF(AND(W91&gt;=CONFIG!$B$12,R91&gt;=CONFIG!$B$13),"ALERTA MEDIA","NO APTO"))))))</f>
        <v/>
      </c>
      <c r="Z91" s="2">
        <f>IF(Y91="","",IF(Y91="NO APTO","Revisar cuota/probabilidad/EV/puntuación/muestra",IF(Y91="ALERTA FUERTE","Cumple filtros de cuota + probabilidad + EV + confianza + muestra","Cumple filtros, pero confianza inferior a FUERTE")))</f>
        <v/>
      </c>
    </row>
    <row r="92">
      <c r="A92" s="2">
        <f>IF(E92="","",ROW()-1)</f>
        <v/>
      </c>
      <c r="B92" s="2" t="inlineStr">
        <is>
          <t>2026-08-19</t>
        </is>
      </c>
      <c r="C92" s="2" t="inlineStr">
        <is>
          <t>09:30</t>
        </is>
      </c>
      <c r="D92" s="2" t="inlineStr">
        <is>
          <t>Cupa României</t>
        </is>
      </c>
      <c r="E92" s="2" t="inlineStr">
        <is>
          <t>CS Afumati vs FC Voluntari</t>
        </is>
      </c>
      <c r="F92" s="2" t="inlineStr">
        <is>
          <t>PENDIENTE</t>
        </is>
      </c>
      <c r="G92" s="2" t="inlineStr">
        <is>
          <t>SELECCIONAR MERCADO</t>
        </is>
      </c>
      <c r="H92" s="6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2" t="n"/>
      <c r="S92" s="7" t="n"/>
      <c r="T92" s="7">
        <f>IFERROR(1/H92,"")</f>
        <v/>
      </c>
      <c r="U92" s="7">
        <f>IF(OR(S92="",T92=""),"",S92-T92)</f>
        <v/>
      </c>
      <c r="V92" s="7">
        <f>IF(OR(S92="",H92=""),"",S92*H92-1)</f>
        <v/>
      </c>
      <c r="W92" s="2">
        <f>IF(E92="","",ROUND(100*(0.22*I92+0.18*J92+0.18*K92+0.10*L92+0.08*M92+0.06*N92+0.06*O92+0.04*P92+0.04*Q92+0.04*MIN(R92/10,1)),0))</f>
        <v/>
      </c>
      <c r="X92" s="2">
        <f>IF(W92="","",IF(W92&gt;=CONFIG!$B$11,"FUERTE",IF(W92&gt;=CONFIG!$B$12,"MEDIA","BAJA")))</f>
        <v/>
      </c>
      <c r="Y92" s="2">
        <f>IF(OR(H92="",S92=""),"",IF(OR(H92&lt;CONFIG!$B$2,H92&gt;CONFIG!$B$3),"NO APTO",IF(S92&lt;IF(H92&lt;1.6,CONFIG!$B$4,IF(H92&lt;1.7,CONFIG!$B$5,IF(H92&lt;1.8,CONFIG!$B$6,IF(H92&lt;2,CONFIG!$B$7,IF(H92&lt;2.2,CONFIG!$B$8,CONFIG!$B$9))))),"NO APTO",IF(V92&lt;CONFIG!$B$10,"NO APTO",IF(AND(W92&gt;=CONFIG!$B$11,R92&gt;=CONFIG!$B$13),"ALERTA FUERTE",IF(AND(W92&gt;=CONFIG!$B$12,R92&gt;=CONFIG!$B$13),"ALERTA MEDIA","NO APTO"))))))</f>
        <v/>
      </c>
      <c r="Z92" s="2">
        <f>IF(Y92="","",IF(Y92="NO APTO","Revisar cuota/probabilidad/EV/puntuación/muestra",IF(Y92="ALERTA FUERTE","Cumple filtros de cuota + probabilidad + EV + confianza + muestra","Cumple filtros, pero confianza inferior a FUERTE")))</f>
        <v/>
      </c>
    </row>
    <row r="93">
      <c r="A93" s="2">
        <f>IF(E93="","",ROW()-1)</f>
        <v/>
      </c>
      <c r="B93" s="2" t="inlineStr">
        <is>
          <t>2026-08-19</t>
        </is>
      </c>
      <c r="C93" s="2" t="inlineStr">
        <is>
          <t>09:30</t>
        </is>
      </c>
      <c r="D93" s="2" t="inlineStr">
        <is>
          <t>Cupa României</t>
        </is>
      </c>
      <c r="E93" s="2" t="inlineStr">
        <is>
          <t>Minaur Baia Mare vs Corvinul Hunedoara</t>
        </is>
      </c>
      <c r="F93" s="2" t="inlineStr">
        <is>
          <t>PENDIENTE</t>
        </is>
      </c>
      <c r="G93" s="2" t="inlineStr">
        <is>
          <t>SELECCIONAR MERCADO</t>
        </is>
      </c>
      <c r="H93" s="6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2" t="n"/>
      <c r="S93" s="7" t="n"/>
      <c r="T93" s="7">
        <f>IFERROR(1/H93,"")</f>
        <v/>
      </c>
      <c r="U93" s="7">
        <f>IF(OR(S93="",T93=""),"",S93-T93)</f>
        <v/>
      </c>
      <c r="V93" s="7">
        <f>IF(OR(S93="",H93=""),"",S93*H93-1)</f>
        <v/>
      </c>
      <c r="W93" s="2">
        <f>IF(E93="","",ROUND(100*(0.22*I93+0.18*J93+0.18*K93+0.10*L93+0.08*M93+0.06*N93+0.06*O93+0.04*P93+0.04*Q93+0.04*MIN(R93/10,1)),0))</f>
        <v/>
      </c>
      <c r="X93" s="2">
        <f>IF(W93="","",IF(W93&gt;=CONFIG!$B$11,"FUERTE",IF(W93&gt;=CONFIG!$B$12,"MEDIA","BAJA")))</f>
        <v/>
      </c>
      <c r="Y93" s="2">
        <f>IF(OR(H93="",S93=""),"",IF(OR(H93&lt;CONFIG!$B$2,H93&gt;CONFIG!$B$3),"NO APTO",IF(S93&lt;IF(H93&lt;1.6,CONFIG!$B$4,IF(H93&lt;1.7,CONFIG!$B$5,IF(H93&lt;1.8,CONFIG!$B$6,IF(H93&lt;2,CONFIG!$B$7,IF(H93&lt;2.2,CONFIG!$B$8,CONFIG!$B$9))))),"NO APTO",IF(V93&lt;CONFIG!$B$10,"NO APTO",IF(AND(W93&gt;=CONFIG!$B$11,R93&gt;=CONFIG!$B$13),"ALERTA FUERTE",IF(AND(W93&gt;=CONFIG!$B$12,R93&gt;=CONFIG!$B$13),"ALERTA MEDIA","NO APTO"))))))</f>
        <v/>
      </c>
      <c r="Z93" s="2">
        <f>IF(Y93="","",IF(Y93="NO APTO","Revisar cuota/probabilidad/EV/puntuación/muestra",IF(Y93="ALERTA FUERTE","Cumple filtros de cuota + probabilidad + EV + confianza + muestra","Cumple filtros, pero confianza inferior a FUERTE")))</f>
        <v/>
      </c>
    </row>
    <row r="94">
      <c r="A94" s="2">
        <f>IF(E94="","",ROW()-1)</f>
        <v/>
      </c>
      <c r="B94" s="2" t="inlineStr">
        <is>
          <t>2026-08-19</t>
        </is>
      </c>
      <c r="C94" s="2" t="inlineStr">
        <is>
          <t>09:30</t>
        </is>
      </c>
      <c r="D94" s="2" t="inlineStr">
        <is>
          <t>Cupa României</t>
        </is>
      </c>
      <c r="E94" s="2" t="inlineStr">
        <is>
          <t>CIL Blaj vs Progresul Spartac</t>
        </is>
      </c>
      <c r="F94" s="2" t="inlineStr">
        <is>
          <t>PENDIENTE</t>
        </is>
      </c>
      <c r="G94" s="2" t="inlineStr">
        <is>
          <t>SELECCIONAR MERCADO</t>
        </is>
      </c>
      <c r="H94" s="6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2" t="n"/>
      <c r="S94" s="7" t="n"/>
      <c r="T94" s="7">
        <f>IFERROR(1/H94,"")</f>
        <v/>
      </c>
      <c r="U94" s="7">
        <f>IF(OR(S94="",T94=""),"",S94-T94)</f>
        <v/>
      </c>
      <c r="V94" s="7">
        <f>IF(OR(S94="",H94=""),"",S94*H94-1)</f>
        <v/>
      </c>
      <c r="W94" s="2">
        <f>IF(E94="","",ROUND(100*(0.22*I94+0.18*J94+0.18*K94+0.10*L94+0.08*M94+0.06*N94+0.06*O94+0.04*P94+0.04*Q94+0.04*MIN(R94/10,1)),0))</f>
        <v/>
      </c>
      <c r="X94" s="2">
        <f>IF(W94="","",IF(W94&gt;=CONFIG!$B$11,"FUERTE",IF(W94&gt;=CONFIG!$B$12,"MEDIA","BAJA")))</f>
        <v/>
      </c>
      <c r="Y94" s="2">
        <f>IF(OR(H94="",S94=""),"",IF(OR(H94&lt;CONFIG!$B$2,H94&gt;CONFIG!$B$3),"NO APTO",IF(S94&lt;IF(H94&lt;1.6,CONFIG!$B$4,IF(H94&lt;1.7,CONFIG!$B$5,IF(H94&lt;1.8,CONFIG!$B$6,IF(H94&lt;2,CONFIG!$B$7,IF(H94&lt;2.2,CONFIG!$B$8,CONFIG!$B$9))))),"NO APTO",IF(V94&lt;CONFIG!$B$10,"NO APTO",IF(AND(W94&gt;=CONFIG!$B$11,R94&gt;=CONFIG!$B$13),"ALERTA FUERTE",IF(AND(W94&gt;=CONFIG!$B$12,R94&gt;=CONFIG!$B$13),"ALERTA MEDIA","NO APTO"))))))</f>
        <v/>
      </c>
      <c r="Z94" s="2">
        <f>IF(Y94="","",IF(Y94="NO APTO","Revisar cuota/probabilidad/EV/puntuación/muestra",IF(Y94="ALERTA FUERTE","Cumple filtros de cuota + probabilidad + EV + confianza + muestra","Cumple filtros, pero confianza inferior a FUERTE")))</f>
        <v/>
      </c>
    </row>
    <row r="95">
      <c r="A95" s="2">
        <f>IF(E95="","",ROW()-1)</f>
        <v/>
      </c>
      <c r="B95" s="2" t="inlineStr">
        <is>
          <t>2026-08-19</t>
        </is>
      </c>
      <c r="C95" s="2" t="inlineStr">
        <is>
          <t>09:30</t>
        </is>
      </c>
      <c r="D95" s="2" t="inlineStr">
        <is>
          <t>Cupa României</t>
        </is>
      </c>
      <c r="E95" s="2" t="inlineStr">
        <is>
          <t>Corona Braşov vs Tunari</t>
        </is>
      </c>
      <c r="F95" s="2" t="inlineStr">
        <is>
          <t>PENDIENTE</t>
        </is>
      </c>
      <c r="G95" s="2" t="inlineStr">
        <is>
          <t>SELECCIONAR MERCADO</t>
        </is>
      </c>
      <c r="H95" s="6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2" t="n"/>
      <c r="S95" s="7" t="n"/>
      <c r="T95" s="7">
        <f>IFERROR(1/H95,"")</f>
        <v/>
      </c>
      <c r="U95" s="7">
        <f>IF(OR(S95="",T95=""),"",S95-T95)</f>
        <v/>
      </c>
      <c r="V95" s="7">
        <f>IF(OR(S95="",H95=""),"",S95*H95-1)</f>
        <v/>
      </c>
      <c r="W95" s="2">
        <f>IF(E95="","",ROUND(100*(0.22*I95+0.18*J95+0.18*K95+0.10*L95+0.08*M95+0.06*N95+0.06*O95+0.04*P95+0.04*Q95+0.04*MIN(R95/10,1)),0))</f>
        <v/>
      </c>
      <c r="X95" s="2">
        <f>IF(W95="","",IF(W95&gt;=CONFIG!$B$11,"FUERTE",IF(W95&gt;=CONFIG!$B$12,"MEDIA","BAJA")))</f>
        <v/>
      </c>
      <c r="Y95" s="2">
        <f>IF(OR(H95="",S95=""),"",IF(OR(H95&lt;CONFIG!$B$2,H95&gt;CONFIG!$B$3),"NO APTO",IF(S95&lt;IF(H95&lt;1.6,CONFIG!$B$4,IF(H95&lt;1.7,CONFIG!$B$5,IF(H95&lt;1.8,CONFIG!$B$6,IF(H95&lt;2,CONFIG!$B$7,IF(H95&lt;2.2,CONFIG!$B$8,CONFIG!$B$9))))),"NO APTO",IF(V95&lt;CONFIG!$B$10,"NO APTO",IF(AND(W95&gt;=CONFIG!$B$11,R95&gt;=CONFIG!$B$13),"ALERTA FUERTE",IF(AND(W95&gt;=CONFIG!$B$12,R95&gt;=CONFIG!$B$13),"ALERTA MEDIA","NO APTO"))))))</f>
        <v/>
      </c>
      <c r="Z95" s="2">
        <f>IF(Y95="","",IF(Y95="NO APTO","Revisar cuota/probabilidad/EV/puntuación/muestra",IF(Y95="ALERTA FUERTE","Cumple filtros de cuota + probabilidad + EV + confianza + muestra","Cumple filtros, pero confianza inferior a FUERTE")))</f>
        <v/>
      </c>
    </row>
    <row r="96">
      <c r="A96" s="2">
        <f>IF(E96="","",ROW()-1)</f>
        <v/>
      </c>
      <c r="B96" s="2" t="inlineStr">
        <is>
          <t>2026-08-19</t>
        </is>
      </c>
      <c r="C96" s="2" t="inlineStr">
        <is>
          <t>09:30</t>
        </is>
      </c>
      <c r="D96" s="2" t="inlineStr">
        <is>
          <t>Cupa României</t>
        </is>
      </c>
      <c r="E96" s="2" t="inlineStr">
        <is>
          <t>Slatina vs Sepsi OSK Sfantu Gheorghe</t>
        </is>
      </c>
      <c r="F96" s="2" t="inlineStr">
        <is>
          <t>PENDIENTE</t>
        </is>
      </c>
      <c r="G96" s="2" t="inlineStr">
        <is>
          <t>SELECCIONAR MERCADO</t>
        </is>
      </c>
      <c r="H96" s="6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2" t="n"/>
      <c r="S96" s="7" t="n"/>
      <c r="T96" s="7">
        <f>IFERROR(1/H96,"")</f>
        <v/>
      </c>
      <c r="U96" s="7">
        <f>IF(OR(S96="",T96=""),"",S96-T96)</f>
        <v/>
      </c>
      <c r="V96" s="7">
        <f>IF(OR(S96="",H96=""),"",S96*H96-1)</f>
        <v/>
      </c>
      <c r="W96" s="2">
        <f>IF(E96="","",ROUND(100*(0.22*I96+0.18*J96+0.18*K96+0.10*L96+0.08*M96+0.06*N96+0.06*O96+0.04*P96+0.04*Q96+0.04*MIN(R96/10,1)),0))</f>
        <v/>
      </c>
      <c r="X96" s="2">
        <f>IF(W96="","",IF(W96&gt;=CONFIG!$B$11,"FUERTE",IF(W96&gt;=CONFIG!$B$12,"MEDIA","BAJA")))</f>
        <v/>
      </c>
      <c r="Y96" s="2">
        <f>IF(OR(H96="",S96=""),"",IF(OR(H96&lt;CONFIG!$B$2,H96&gt;CONFIG!$B$3),"NO APTO",IF(S96&lt;IF(H96&lt;1.6,CONFIG!$B$4,IF(H96&lt;1.7,CONFIG!$B$5,IF(H96&lt;1.8,CONFIG!$B$6,IF(H96&lt;2,CONFIG!$B$7,IF(H96&lt;2.2,CONFIG!$B$8,CONFIG!$B$9))))),"NO APTO",IF(V96&lt;CONFIG!$B$10,"NO APTO",IF(AND(W96&gt;=CONFIG!$B$11,R96&gt;=CONFIG!$B$13),"ALERTA FUERTE",IF(AND(W96&gt;=CONFIG!$B$12,R96&gt;=CONFIG!$B$13),"ALERTA MEDIA","NO APTO"))))))</f>
        <v/>
      </c>
      <c r="Z96" s="2">
        <f>IF(Y96="","",IF(Y96="NO APTO","Revisar cuota/probabilidad/EV/puntuación/muestra",IF(Y96="ALERTA FUERTE","Cumple filtros de cuota + probabilidad + EV + confianza + muestra","Cumple filtros, pero confianza inferior a FUERTE")))</f>
        <v/>
      </c>
    </row>
    <row r="97">
      <c r="A97" s="2">
        <f>IF(E97="","",ROW()-1)</f>
        <v/>
      </c>
      <c r="B97" s="2" t="inlineStr">
        <is>
          <t>2026-08-19</t>
        </is>
      </c>
      <c r="C97" s="2" t="inlineStr">
        <is>
          <t>09:30</t>
        </is>
      </c>
      <c r="D97" s="2" t="inlineStr">
        <is>
          <t>Cupa României</t>
        </is>
      </c>
      <c r="E97" s="2" t="inlineStr">
        <is>
          <t>Bihor Oradea vs Farul Constanta</t>
        </is>
      </c>
      <c r="F97" s="2" t="inlineStr">
        <is>
          <t>PENDIENTE</t>
        </is>
      </c>
      <c r="G97" s="2" t="inlineStr">
        <is>
          <t>SELECCIONAR MERCADO</t>
        </is>
      </c>
      <c r="H97" s="6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2" t="n"/>
      <c r="S97" s="7" t="n"/>
      <c r="T97" s="7">
        <f>IFERROR(1/H97,"")</f>
        <v/>
      </c>
      <c r="U97" s="7">
        <f>IF(OR(S97="",T97=""),"",S97-T97)</f>
        <v/>
      </c>
      <c r="V97" s="7">
        <f>IF(OR(S97="",H97=""),"",S97*H97-1)</f>
        <v/>
      </c>
      <c r="W97" s="2">
        <f>IF(E97="","",ROUND(100*(0.22*I97+0.18*J97+0.18*K97+0.10*L97+0.08*M97+0.06*N97+0.06*O97+0.04*P97+0.04*Q97+0.04*MIN(R97/10,1)),0))</f>
        <v/>
      </c>
      <c r="X97" s="2">
        <f>IF(W97="","",IF(W97&gt;=CONFIG!$B$11,"FUERTE",IF(W97&gt;=CONFIG!$B$12,"MEDIA","BAJA")))</f>
        <v/>
      </c>
      <c r="Y97" s="2">
        <f>IF(OR(H97="",S97=""),"",IF(OR(H97&lt;CONFIG!$B$2,H97&gt;CONFIG!$B$3),"NO APTO",IF(S97&lt;IF(H97&lt;1.6,CONFIG!$B$4,IF(H97&lt;1.7,CONFIG!$B$5,IF(H97&lt;1.8,CONFIG!$B$6,IF(H97&lt;2,CONFIG!$B$7,IF(H97&lt;2.2,CONFIG!$B$8,CONFIG!$B$9))))),"NO APTO",IF(V97&lt;CONFIG!$B$10,"NO APTO",IF(AND(W97&gt;=CONFIG!$B$11,R97&gt;=CONFIG!$B$13),"ALERTA FUERTE",IF(AND(W97&gt;=CONFIG!$B$12,R97&gt;=CONFIG!$B$13),"ALERTA MEDIA","NO APTO"))))))</f>
        <v/>
      </c>
      <c r="Z97" s="2">
        <f>IF(Y97="","",IF(Y97="NO APTO","Revisar cuota/probabilidad/EV/puntuación/muestra",IF(Y97="ALERTA FUERTE","Cumple filtros de cuota + probabilidad + EV + confianza + muestra","Cumple filtros, pero confianza inferior a FUERTE")))</f>
        <v/>
      </c>
    </row>
    <row r="98">
      <c r="A98" s="2">
        <f>IF(E98="","",ROW()-1)</f>
        <v/>
      </c>
      <c r="B98" s="2" t="inlineStr">
        <is>
          <t>2026-08-19</t>
        </is>
      </c>
      <c r="C98" s="2" t="inlineStr">
        <is>
          <t>09:30</t>
        </is>
      </c>
      <c r="D98" s="2" t="inlineStr">
        <is>
          <t>Cupa României</t>
        </is>
      </c>
      <c r="E98" s="2" t="inlineStr">
        <is>
          <t>Gloria Bistriţa vs Metalul Buzău</t>
        </is>
      </c>
      <c r="F98" s="2" t="inlineStr">
        <is>
          <t>PENDIENTE</t>
        </is>
      </c>
      <c r="G98" s="2" t="inlineStr">
        <is>
          <t>SELECCIONAR MERCADO</t>
        </is>
      </c>
      <c r="H98" s="6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2" t="n"/>
      <c r="S98" s="7" t="n"/>
      <c r="T98" s="7">
        <f>IFERROR(1/H98,"")</f>
        <v/>
      </c>
      <c r="U98" s="7">
        <f>IF(OR(S98="",T98=""),"",S98-T98)</f>
        <v/>
      </c>
      <c r="V98" s="7">
        <f>IF(OR(S98="",H98=""),"",S98*H98-1)</f>
        <v/>
      </c>
      <c r="W98" s="2">
        <f>IF(E98="","",ROUND(100*(0.22*I98+0.18*J98+0.18*K98+0.10*L98+0.08*M98+0.06*N98+0.06*O98+0.04*P98+0.04*Q98+0.04*MIN(R98/10,1)),0))</f>
        <v/>
      </c>
      <c r="X98" s="2">
        <f>IF(W98="","",IF(W98&gt;=CONFIG!$B$11,"FUERTE",IF(W98&gt;=CONFIG!$B$12,"MEDIA","BAJA")))</f>
        <v/>
      </c>
      <c r="Y98" s="2">
        <f>IF(OR(H98="",S98=""),"",IF(OR(H98&lt;CONFIG!$B$2,H98&gt;CONFIG!$B$3),"NO APTO",IF(S98&lt;IF(H98&lt;1.6,CONFIG!$B$4,IF(H98&lt;1.7,CONFIG!$B$5,IF(H98&lt;1.8,CONFIG!$B$6,IF(H98&lt;2,CONFIG!$B$7,IF(H98&lt;2.2,CONFIG!$B$8,CONFIG!$B$9))))),"NO APTO",IF(V98&lt;CONFIG!$B$10,"NO APTO",IF(AND(W98&gt;=CONFIG!$B$11,R98&gt;=CONFIG!$B$13),"ALERTA FUERTE",IF(AND(W98&gt;=CONFIG!$B$12,R98&gt;=CONFIG!$B$13),"ALERTA MEDIA","NO APTO"))))))</f>
        <v/>
      </c>
      <c r="Z98" s="2">
        <f>IF(Y98="","",IF(Y98="NO APTO","Revisar cuota/probabilidad/EV/puntuación/muestra",IF(Y98="ALERTA FUERTE","Cumple filtros de cuota + probabilidad + EV + confianza + muestra","Cumple filtros, pero confianza inferior a FUERTE")))</f>
        <v/>
      </c>
    </row>
    <row r="99">
      <c r="A99" s="2">
        <f>IF(E99="","",ROW()-1)</f>
        <v/>
      </c>
      <c r="B99" s="2" t="inlineStr">
        <is>
          <t>2026-08-19</t>
        </is>
      </c>
      <c r="C99" s="2" t="inlineStr">
        <is>
          <t>09:30</t>
        </is>
      </c>
      <c r="D99" s="2" t="inlineStr">
        <is>
          <t>Cupa României</t>
        </is>
      </c>
      <c r="E99" s="2" t="inlineStr">
        <is>
          <t>Minerul Lupeni vs Unirea Slobozia</t>
        </is>
      </c>
      <c r="F99" s="2" t="inlineStr">
        <is>
          <t>PENDIENTE</t>
        </is>
      </c>
      <c r="G99" s="2" t="inlineStr">
        <is>
          <t>SELECCIONAR MERCADO</t>
        </is>
      </c>
      <c r="H99" s="6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2" t="n"/>
      <c r="S99" s="7" t="n"/>
      <c r="T99" s="7">
        <f>IFERROR(1/H99,"")</f>
        <v/>
      </c>
      <c r="U99" s="7">
        <f>IF(OR(S99="",T99=""),"",S99-T99)</f>
        <v/>
      </c>
      <c r="V99" s="7">
        <f>IF(OR(S99="",H99=""),"",S99*H99-1)</f>
        <v/>
      </c>
      <c r="W99" s="2">
        <f>IF(E99="","",ROUND(100*(0.22*I99+0.18*J99+0.18*K99+0.10*L99+0.08*M99+0.06*N99+0.06*O99+0.04*P99+0.04*Q99+0.04*MIN(R99/10,1)),0))</f>
        <v/>
      </c>
      <c r="X99" s="2">
        <f>IF(W99="","",IF(W99&gt;=CONFIG!$B$11,"FUERTE",IF(W99&gt;=CONFIG!$B$12,"MEDIA","BAJA")))</f>
        <v/>
      </c>
      <c r="Y99" s="2">
        <f>IF(OR(H99="",S99=""),"",IF(OR(H99&lt;CONFIG!$B$2,H99&gt;CONFIG!$B$3),"NO APTO",IF(S99&lt;IF(H99&lt;1.6,CONFIG!$B$4,IF(H99&lt;1.7,CONFIG!$B$5,IF(H99&lt;1.8,CONFIG!$B$6,IF(H99&lt;2,CONFIG!$B$7,IF(H99&lt;2.2,CONFIG!$B$8,CONFIG!$B$9))))),"NO APTO",IF(V99&lt;CONFIG!$B$10,"NO APTO",IF(AND(W99&gt;=CONFIG!$B$11,R99&gt;=CONFIG!$B$13),"ALERTA FUERTE",IF(AND(W99&gt;=CONFIG!$B$12,R99&gt;=CONFIG!$B$13),"ALERTA MEDIA","NO APTO"))))))</f>
        <v/>
      </c>
      <c r="Z99" s="2">
        <f>IF(Y99="","",IF(Y99="NO APTO","Revisar cuota/probabilidad/EV/puntuación/muestra",IF(Y99="ALERTA FUERTE","Cumple filtros de cuota + probabilidad + EV + confianza + muestra","Cumple filtros, pero confianza inferior a FUERTE")))</f>
        <v/>
      </c>
    </row>
    <row r="100">
      <c r="A100" s="2">
        <f>IF(E100="","",ROW()-1)</f>
        <v/>
      </c>
      <c r="B100" s="2" t="inlineStr">
        <is>
          <t>2026-08-19</t>
        </is>
      </c>
      <c r="C100" s="2" t="inlineStr">
        <is>
          <t>09:30</t>
        </is>
      </c>
      <c r="D100" s="2" t="inlineStr">
        <is>
          <t>Cupa României</t>
        </is>
      </c>
      <c r="E100" s="2" t="inlineStr">
        <is>
          <t>FC Politehnica Timisoara vs ASA Targu Mures</t>
        </is>
      </c>
      <c r="F100" s="2" t="inlineStr">
        <is>
          <t>PENDIENTE</t>
        </is>
      </c>
      <c r="G100" s="2" t="inlineStr">
        <is>
          <t>SELECCIONAR MERCADO</t>
        </is>
      </c>
      <c r="H100" s="6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2" t="n"/>
      <c r="S100" s="7" t="n"/>
      <c r="T100" s="7">
        <f>IFERROR(1/H100,"")</f>
        <v/>
      </c>
      <c r="U100" s="7">
        <f>IF(OR(S100="",T100=""),"",S100-T100)</f>
        <v/>
      </c>
      <c r="V100" s="7">
        <f>IF(OR(S100="",H100=""),"",S100*H100-1)</f>
        <v/>
      </c>
      <c r="W100" s="2">
        <f>IF(E100="","",ROUND(100*(0.22*I100+0.18*J100+0.18*K100+0.10*L100+0.08*M100+0.06*N100+0.06*O100+0.04*P100+0.04*Q100+0.04*MIN(R100/10,1)),0))</f>
        <v/>
      </c>
      <c r="X100" s="2">
        <f>IF(W100="","",IF(W100&gt;=CONFIG!$B$11,"FUERTE",IF(W100&gt;=CONFIG!$B$12,"MEDIA","BAJA")))</f>
        <v/>
      </c>
      <c r="Y100" s="2">
        <f>IF(OR(H100="",S100=""),"",IF(OR(H100&lt;CONFIG!$B$2,H100&gt;CONFIG!$B$3),"NO APTO",IF(S100&lt;IF(H100&lt;1.6,CONFIG!$B$4,IF(H100&lt;1.7,CONFIG!$B$5,IF(H100&lt;1.8,CONFIG!$B$6,IF(H100&lt;2,CONFIG!$B$7,IF(H100&lt;2.2,CONFIG!$B$8,CONFIG!$B$9))))),"NO APTO",IF(V100&lt;CONFIG!$B$10,"NO APTO",IF(AND(W100&gt;=CONFIG!$B$11,R100&gt;=CONFIG!$B$13),"ALERTA FUERTE",IF(AND(W100&gt;=CONFIG!$B$12,R100&gt;=CONFIG!$B$13),"ALERTA MEDIA","NO APTO"))))))</f>
        <v/>
      </c>
      <c r="Z100" s="2">
        <f>IF(Y100="","",IF(Y100="NO APTO","Revisar cuota/probabilidad/EV/puntuación/muestra",IF(Y100="ALERTA FUERTE","Cumple filtros de cuota + probabilidad + EV + confianza + muestra","Cumple filtros, pero confianza inferior a FUERTE")))</f>
        <v/>
      </c>
    </row>
    <row r="101">
      <c r="A101" s="2">
        <f>IF(E101="","",ROW()-1)</f>
        <v/>
      </c>
      <c r="B101" s="2" t="inlineStr">
        <is>
          <t>2026-08-19</t>
        </is>
      </c>
      <c r="C101" s="2" t="inlineStr">
        <is>
          <t>09:30</t>
        </is>
      </c>
      <c r="D101" s="2" t="inlineStr">
        <is>
          <t>Cupa României</t>
        </is>
      </c>
      <c r="E101" s="2" t="inlineStr">
        <is>
          <t>Popești-Leordeni vs FC Bacau</t>
        </is>
      </c>
      <c r="F101" s="2" t="inlineStr">
        <is>
          <t>PENDIENTE</t>
        </is>
      </c>
      <c r="G101" s="2" t="inlineStr">
        <is>
          <t>SELECCIONAR MERCADO</t>
        </is>
      </c>
      <c r="H101" s="6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2" t="n"/>
      <c r="S101" s="7" t="n"/>
      <c r="T101" s="7">
        <f>IFERROR(1/H101,"")</f>
        <v/>
      </c>
      <c r="U101" s="7">
        <f>IF(OR(S101="",T101=""),"",S101-T101)</f>
        <v/>
      </c>
      <c r="V101" s="7">
        <f>IF(OR(S101="",H101=""),"",S101*H101-1)</f>
        <v/>
      </c>
      <c r="W101" s="2">
        <f>IF(E101="","",ROUND(100*(0.22*I101+0.18*J101+0.18*K101+0.10*L101+0.08*M101+0.06*N101+0.06*O101+0.04*P101+0.04*Q101+0.04*MIN(R101/10,1)),0))</f>
        <v/>
      </c>
      <c r="X101" s="2">
        <f>IF(W101="","",IF(W101&gt;=CONFIG!$B$11,"FUERTE",IF(W101&gt;=CONFIG!$B$12,"MEDIA","BAJA")))</f>
        <v/>
      </c>
      <c r="Y101" s="2">
        <f>IF(OR(H101="",S101=""),"",IF(OR(H101&lt;CONFIG!$B$2,H101&gt;CONFIG!$B$3),"NO APTO",IF(S101&lt;IF(H101&lt;1.6,CONFIG!$B$4,IF(H101&lt;1.7,CONFIG!$B$5,IF(H101&lt;1.8,CONFIG!$B$6,IF(H101&lt;2,CONFIG!$B$7,IF(H101&lt;2.2,CONFIG!$B$8,CONFIG!$B$9))))),"NO APTO",IF(V101&lt;CONFIG!$B$10,"NO APTO",IF(AND(W101&gt;=CONFIG!$B$11,R101&gt;=CONFIG!$B$13),"ALERTA FUERTE",IF(AND(W101&gt;=CONFIG!$B$12,R101&gt;=CONFIG!$B$13),"ALERTA MEDIA","NO APTO"))))))</f>
        <v/>
      </c>
      <c r="Z101" s="2">
        <f>IF(Y101="","",IF(Y101="NO APTO","Revisar cuota/probabilidad/EV/puntuación/muestra",IF(Y101="ALERTA FUERTE","Cumple filtros de cuota + probabilidad + EV + confianza + muestra","Cumple filtros, pero confianza inferior a FUERTE")))</f>
        <v/>
      </c>
    </row>
    <row r="102">
      <c r="A102" s="2">
        <f>IF(E102="","",ROW()-1)</f>
        <v/>
      </c>
      <c r="B102" s="2" t="inlineStr">
        <is>
          <t>2026-08-19</t>
        </is>
      </c>
      <c r="C102" s="2" t="inlineStr">
        <is>
          <t>09:30</t>
        </is>
      </c>
      <c r="D102" s="2" t="inlineStr">
        <is>
          <t>Cupa României</t>
        </is>
      </c>
      <c r="E102" s="2" t="inlineStr">
        <is>
          <t>USV Iaşi vs Sporting Lieşti</t>
        </is>
      </c>
      <c r="F102" s="2" t="inlineStr">
        <is>
          <t>PENDIENTE</t>
        </is>
      </c>
      <c r="G102" s="2" t="inlineStr">
        <is>
          <t>SELECCIONAR MERCADO</t>
        </is>
      </c>
      <c r="H102" s="6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2" t="n"/>
      <c r="S102" s="7" t="n"/>
      <c r="T102" s="7">
        <f>IFERROR(1/H102,"")</f>
        <v/>
      </c>
      <c r="U102" s="7">
        <f>IF(OR(S102="",T102=""),"",S102-T102)</f>
        <v/>
      </c>
      <c r="V102" s="7">
        <f>IF(OR(S102="",H102=""),"",S102*H102-1)</f>
        <v/>
      </c>
      <c r="W102" s="2">
        <f>IF(E102="","",ROUND(100*(0.22*I102+0.18*J102+0.18*K102+0.10*L102+0.08*M102+0.06*N102+0.06*O102+0.04*P102+0.04*Q102+0.04*MIN(R102/10,1)),0))</f>
        <v/>
      </c>
      <c r="X102" s="2">
        <f>IF(W102="","",IF(W102&gt;=CONFIG!$B$11,"FUERTE",IF(W102&gt;=CONFIG!$B$12,"MEDIA","BAJA")))</f>
        <v/>
      </c>
      <c r="Y102" s="2">
        <f>IF(OR(H102="",S102=""),"",IF(OR(H102&lt;CONFIG!$B$2,H102&gt;CONFIG!$B$3),"NO APTO",IF(S102&lt;IF(H102&lt;1.6,CONFIG!$B$4,IF(H102&lt;1.7,CONFIG!$B$5,IF(H102&lt;1.8,CONFIG!$B$6,IF(H102&lt;2,CONFIG!$B$7,IF(H102&lt;2.2,CONFIG!$B$8,CONFIG!$B$9))))),"NO APTO",IF(V102&lt;CONFIG!$B$10,"NO APTO",IF(AND(W102&gt;=CONFIG!$B$11,R102&gt;=CONFIG!$B$13),"ALERTA FUERTE",IF(AND(W102&gt;=CONFIG!$B$12,R102&gt;=CONFIG!$B$13),"ALERTA MEDIA","NO APTO"))))))</f>
        <v/>
      </c>
      <c r="Z102" s="2">
        <f>IF(Y102="","",IF(Y102="NO APTO","Revisar cuota/probabilidad/EV/puntuación/muestra",IF(Y102="ALERTA FUERTE","Cumple filtros de cuota + probabilidad + EV + confianza + muestra","Cumple filtros, pero confianza inferior a FUERTE")))</f>
        <v/>
      </c>
    </row>
    <row r="103">
      <c r="A103" s="2">
        <f>IF(E103="","",ROW()-1)</f>
        <v/>
      </c>
      <c r="B103" s="2" t="inlineStr">
        <is>
          <t>2026-08-19</t>
        </is>
      </c>
      <c r="C103" s="2" t="inlineStr">
        <is>
          <t>10:00</t>
        </is>
      </c>
      <c r="D103" s="2" t="inlineStr">
        <is>
          <t>Super League</t>
        </is>
      </c>
      <c r="E103" s="2" t="inlineStr">
        <is>
          <t>Mash'al vs Andijan</t>
        </is>
      </c>
      <c r="F103" s="2" t="inlineStr">
        <is>
          <t>PENDIENTE</t>
        </is>
      </c>
      <c r="G103" s="2" t="inlineStr">
        <is>
          <t>SELECCIONAR MERCADO</t>
        </is>
      </c>
      <c r="H103" s="6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2" t="n"/>
      <c r="S103" s="7" t="n"/>
      <c r="T103" s="7">
        <f>IFERROR(1/H103,"")</f>
        <v/>
      </c>
      <c r="U103" s="7">
        <f>IF(OR(S103="",T103=""),"",S103-T103)</f>
        <v/>
      </c>
      <c r="V103" s="7">
        <f>IF(OR(S103="",H103=""),"",S103*H103-1)</f>
        <v/>
      </c>
      <c r="W103" s="2">
        <f>IF(E103="","",ROUND(100*(0.22*I103+0.18*J103+0.18*K103+0.10*L103+0.08*M103+0.06*N103+0.06*O103+0.04*P103+0.04*Q103+0.04*MIN(R103/10,1)),0))</f>
        <v/>
      </c>
      <c r="X103" s="2">
        <f>IF(W103="","",IF(W103&gt;=CONFIG!$B$11,"FUERTE",IF(W103&gt;=CONFIG!$B$12,"MEDIA","BAJA")))</f>
        <v/>
      </c>
      <c r="Y103" s="2">
        <f>IF(OR(H103="",S103=""),"",IF(OR(H103&lt;CONFIG!$B$2,H103&gt;CONFIG!$B$3),"NO APTO",IF(S103&lt;IF(H103&lt;1.6,CONFIG!$B$4,IF(H103&lt;1.7,CONFIG!$B$5,IF(H103&lt;1.8,CONFIG!$B$6,IF(H103&lt;2,CONFIG!$B$7,IF(H103&lt;2.2,CONFIG!$B$8,CONFIG!$B$9))))),"NO APTO",IF(V103&lt;CONFIG!$B$10,"NO APTO",IF(AND(W103&gt;=CONFIG!$B$11,R103&gt;=CONFIG!$B$13),"ALERTA FUERTE",IF(AND(W103&gt;=CONFIG!$B$12,R103&gt;=CONFIG!$B$13),"ALERTA MEDIA","NO APTO"))))))</f>
        <v/>
      </c>
      <c r="Z103" s="2">
        <f>IF(Y103="","",IF(Y103="NO APTO","Revisar cuota/probabilidad/EV/puntuación/muestra",IF(Y103="ALERTA FUERTE","Cumple filtros de cuota + probabilidad + EV + confianza + muestra","Cumple filtros, pero confianza inferior a FUERTE")))</f>
        <v/>
      </c>
    </row>
    <row r="104">
      <c r="A104" s="2">
        <f>IF(E104="","",ROW()-1)</f>
        <v/>
      </c>
      <c r="B104" s="2" t="inlineStr">
        <is>
          <t>2026-08-19</t>
        </is>
      </c>
      <c r="C104" s="2" t="inlineStr">
        <is>
          <t>10:00</t>
        </is>
      </c>
      <c r="D104" s="2" t="inlineStr">
        <is>
          <t>Prva Liga</t>
        </is>
      </c>
      <c r="E104" s="2" t="inlineStr">
        <is>
          <t>Grafičar vs Loznica</t>
        </is>
      </c>
      <c r="F104" s="2" t="inlineStr">
        <is>
          <t>PENDIENTE</t>
        </is>
      </c>
      <c r="G104" s="2" t="inlineStr">
        <is>
          <t>SELECCIONAR MERCADO</t>
        </is>
      </c>
      <c r="H104" s="6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2" t="n"/>
      <c r="S104" s="7" t="n"/>
      <c r="T104" s="7">
        <f>IFERROR(1/H104,"")</f>
        <v/>
      </c>
      <c r="U104" s="7">
        <f>IF(OR(S104="",T104=""),"",S104-T104)</f>
        <v/>
      </c>
      <c r="V104" s="7">
        <f>IF(OR(S104="",H104=""),"",S104*H104-1)</f>
        <v/>
      </c>
      <c r="W104" s="2">
        <f>IF(E104="","",ROUND(100*(0.22*I104+0.18*J104+0.18*K104+0.10*L104+0.08*M104+0.06*N104+0.06*O104+0.04*P104+0.04*Q104+0.04*MIN(R104/10,1)),0))</f>
        <v/>
      </c>
      <c r="X104" s="2">
        <f>IF(W104="","",IF(W104&gt;=CONFIG!$B$11,"FUERTE",IF(W104&gt;=CONFIG!$B$12,"MEDIA","BAJA")))</f>
        <v/>
      </c>
      <c r="Y104" s="2">
        <f>IF(OR(H104="",S104=""),"",IF(OR(H104&lt;CONFIG!$B$2,H104&gt;CONFIG!$B$3),"NO APTO",IF(S104&lt;IF(H104&lt;1.6,CONFIG!$B$4,IF(H104&lt;1.7,CONFIG!$B$5,IF(H104&lt;1.8,CONFIG!$B$6,IF(H104&lt;2,CONFIG!$B$7,IF(H104&lt;2.2,CONFIG!$B$8,CONFIG!$B$9))))),"NO APTO",IF(V104&lt;CONFIG!$B$10,"NO APTO",IF(AND(W104&gt;=CONFIG!$B$11,R104&gt;=CONFIG!$B$13),"ALERTA FUERTE",IF(AND(W104&gt;=CONFIG!$B$12,R104&gt;=CONFIG!$B$13),"ALERTA MEDIA","NO APTO"))))))</f>
        <v/>
      </c>
      <c r="Z104" s="2">
        <f>IF(Y104="","",IF(Y104="NO APTO","Revisar cuota/probabilidad/EV/puntuación/muestra",IF(Y104="ALERTA FUERTE","Cumple filtros de cuota + probabilidad + EV + confianza + muestra","Cumple filtros, pero confianza inferior a FUERTE")))</f>
        <v/>
      </c>
    </row>
    <row r="105">
      <c r="A105" s="2">
        <f>IF(E105="","",ROW()-1)</f>
        <v/>
      </c>
      <c r="B105" s="2" t="inlineStr">
        <is>
          <t>2026-08-19</t>
        </is>
      </c>
      <c r="C105" s="2" t="inlineStr">
        <is>
          <t>10:00</t>
        </is>
      </c>
      <c r="D105" s="2" t="inlineStr">
        <is>
          <t>Prva Liga</t>
        </is>
      </c>
      <c r="E105" s="2" t="inlineStr">
        <is>
          <t>OFK Vršac vs Dubočica</t>
        </is>
      </c>
      <c r="F105" s="2" t="inlineStr">
        <is>
          <t>PENDIENTE</t>
        </is>
      </c>
      <c r="G105" s="2" t="inlineStr">
        <is>
          <t>SELECCIONAR MERCADO</t>
        </is>
      </c>
      <c r="H105" s="6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2" t="n"/>
      <c r="S105" s="7" t="n"/>
      <c r="T105" s="7">
        <f>IFERROR(1/H105,"")</f>
        <v/>
      </c>
      <c r="U105" s="7">
        <f>IF(OR(S105="",T105=""),"",S105-T105)</f>
        <v/>
      </c>
      <c r="V105" s="7">
        <f>IF(OR(S105="",H105=""),"",S105*H105-1)</f>
        <v/>
      </c>
      <c r="W105" s="2">
        <f>IF(E105="","",ROUND(100*(0.22*I105+0.18*J105+0.18*K105+0.10*L105+0.08*M105+0.06*N105+0.06*O105+0.04*P105+0.04*Q105+0.04*MIN(R105/10,1)),0))</f>
        <v/>
      </c>
      <c r="X105" s="2">
        <f>IF(W105="","",IF(W105&gt;=CONFIG!$B$11,"FUERTE",IF(W105&gt;=CONFIG!$B$12,"MEDIA","BAJA")))</f>
        <v/>
      </c>
      <c r="Y105" s="2">
        <f>IF(OR(H105="",S105=""),"",IF(OR(H105&lt;CONFIG!$B$2,H105&gt;CONFIG!$B$3),"NO APTO",IF(S105&lt;IF(H105&lt;1.6,CONFIG!$B$4,IF(H105&lt;1.7,CONFIG!$B$5,IF(H105&lt;1.8,CONFIG!$B$6,IF(H105&lt;2,CONFIG!$B$7,IF(H105&lt;2.2,CONFIG!$B$8,CONFIG!$B$9))))),"NO APTO",IF(V105&lt;CONFIG!$B$10,"NO APTO",IF(AND(W105&gt;=CONFIG!$B$11,R105&gt;=CONFIG!$B$13),"ALERTA FUERTE",IF(AND(W105&gt;=CONFIG!$B$12,R105&gt;=CONFIG!$B$13),"ALERTA MEDIA","NO APTO"))))))</f>
        <v/>
      </c>
      <c r="Z105" s="2">
        <f>IF(Y105="","",IF(Y105="NO APTO","Revisar cuota/probabilidad/EV/puntuación/muestra",IF(Y105="ALERTA FUERTE","Cumple filtros de cuota + probabilidad + EV + confianza + muestra","Cumple filtros, pero confianza inferior a FUERTE")))</f>
        <v/>
      </c>
    </row>
    <row r="106">
      <c r="A106" s="2">
        <f>IF(E106="","",ROW()-1)</f>
        <v/>
      </c>
      <c r="B106" s="2" t="inlineStr">
        <is>
          <t>2026-08-19</t>
        </is>
      </c>
      <c r="C106" s="2" t="inlineStr">
        <is>
          <t>10:00</t>
        </is>
      </c>
      <c r="D106" s="2" t="inlineStr">
        <is>
          <t>III Liga - Group 4</t>
        </is>
      </c>
      <c r="E106" s="2" t="inlineStr">
        <is>
          <t>Chełmianka Chełm vs Wisłoka Dębica</t>
        </is>
      </c>
      <c r="F106" s="2" t="inlineStr">
        <is>
          <t>PENDIENTE</t>
        </is>
      </c>
      <c r="G106" s="2" t="inlineStr">
        <is>
          <t>SELECCIONAR MERCADO</t>
        </is>
      </c>
      <c r="H106" s="6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2" t="n"/>
      <c r="S106" s="7" t="n"/>
      <c r="T106" s="7">
        <f>IFERROR(1/H106,"")</f>
        <v/>
      </c>
      <c r="U106" s="7">
        <f>IF(OR(S106="",T106=""),"",S106-T106)</f>
        <v/>
      </c>
      <c r="V106" s="7">
        <f>IF(OR(S106="",H106=""),"",S106*H106-1)</f>
        <v/>
      </c>
      <c r="W106" s="2">
        <f>IF(E106="","",ROUND(100*(0.22*I106+0.18*J106+0.18*K106+0.10*L106+0.08*M106+0.06*N106+0.06*O106+0.04*P106+0.04*Q106+0.04*MIN(R106/10,1)),0))</f>
        <v/>
      </c>
      <c r="X106" s="2">
        <f>IF(W106="","",IF(W106&gt;=CONFIG!$B$11,"FUERTE",IF(W106&gt;=CONFIG!$B$12,"MEDIA","BAJA")))</f>
        <v/>
      </c>
      <c r="Y106" s="2">
        <f>IF(OR(H106="",S106=""),"",IF(OR(H106&lt;CONFIG!$B$2,H106&gt;CONFIG!$B$3),"NO APTO",IF(S106&lt;IF(H106&lt;1.6,CONFIG!$B$4,IF(H106&lt;1.7,CONFIG!$B$5,IF(H106&lt;1.8,CONFIG!$B$6,IF(H106&lt;2,CONFIG!$B$7,IF(H106&lt;2.2,CONFIG!$B$8,CONFIG!$B$9))))),"NO APTO",IF(V106&lt;CONFIG!$B$10,"NO APTO",IF(AND(W106&gt;=CONFIG!$B$11,R106&gt;=CONFIG!$B$13),"ALERTA FUERTE",IF(AND(W106&gt;=CONFIG!$B$12,R106&gt;=CONFIG!$B$13),"ALERTA MEDIA","NO APTO"))))))</f>
        <v/>
      </c>
      <c r="Z106" s="2">
        <f>IF(Y106="","",IF(Y106="NO APTO","Revisar cuota/probabilidad/EV/puntuación/muestra",IF(Y106="ALERTA FUERTE","Cumple filtros de cuota + probabilidad + EV + confianza + muestra","Cumple filtros, pero confianza inferior a FUERTE")))</f>
        <v/>
      </c>
    </row>
    <row r="107">
      <c r="A107" s="2">
        <f>IF(E107="","",ROW()-1)</f>
        <v/>
      </c>
      <c r="B107" s="2" t="inlineStr">
        <is>
          <t>2026-08-19</t>
        </is>
      </c>
      <c r="C107" s="2" t="inlineStr">
        <is>
          <t>10:00</t>
        </is>
      </c>
      <c r="D107" s="2" t="inlineStr">
        <is>
          <t>III Liga - Group 4</t>
        </is>
      </c>
      <c r="E107" s="2" t="inlineStr">
        <is>
          <t>Korona Kielce II vs Hetman Zamosc</t>
        </is>
      </c>
      <c r="F107" s="2" t="inlineStr">
        <is>
          <t>PENDIENTE</t>
        </is>
      </c>
      <c r="G107" s="2" t="inlineStr">
        <is>
          <t>SELECCIONAR MERCADO</t>
        </is>
      </c>
      <c r="H107" s="6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2" t="n"/>
      <c r="S107" s="7" t="n"/>
      <c r="T107" s="7">
        <f>IFERROR(1/H107,"")</f>
        <v/>
      </c>
      <c r="U107" s="7">
        <f>IF(OR(S107="",T107=""),"",S107-T107)</f>
        <v/>
      </c>
      <c r="V107" s="7">
        <f>IF(OR(S107="",H107=""),"",S107*H107-1)</f>
        <v/>
      </c>
      <c r="W107" s="2">
        <f>IF(E107="","",ROUND(100*(0.22*I107+0.18*J107+0.18*K107+0.10*L107+0.08*M107+0.06*N107+0.06*O107+0.04*P107+0.04*Q107+0.04*MIN(R107/10,1)),0))</f>
        <v/>
      </c>
      <c r="X107" s="2">
        <f>IF(W107="","",IF(W107&gt;=CONFIG!$B$11,"FUERTE",IF(W107&gt;=CONFIG!$B$12,"MEDIA","BAJA")))</f>
        <v/>
      </c>
      <c r="Y107" s="2">
        <f>IF(OR(H107="",S107=""),"",IF(OR(H107&lt;CONFIG!$B$2,H107&gt;CONFIG!$B$3),"NO APTO",IF(S107&lt;IF(H107&lt;1.6,CONFIG!$B$4,IF(H107&lt;1.7,CONFIG!$B$5,IF(H107&lt;1.8,CONFIG!$B$6,IF(H107&lt;2,CONFIG!$B$7,IF(H107&lt;2.2,CONFIG!$B$8,CONFIG!$B$9))))),"NO APTO",IF(V107&lt;CONFIG!$B$10,"NO APTO",IF(AND(W107&gt;=CONFIG!$B$11,R107&gt;=CONFIG!$B$13),"ALERTA FUERTE",IF(AND(W107&gt;=CONFIG!$B$12,R107&gt;=CONFIG!$B$13),"ALERTA MEDIA","NO APTO"))))))</f>
        <v/>
      </c>
      <c r="Z107" s="2">
        <f>IF(Y107="","",IF(Y107="NO APTO","Revisar cuota/probabilidad/EV/puntuación/muestra",IF(Y107="ALERTA FUERTE","Cumple filtros de cuota + probabilidad + EV + confianza + muestra","Cumple filtros, pero confianza inferior a FUERTE")))</f>
        <v/>
      </c>
    </row>
    <row r="108">
      <c r="A108" s="2">
        <f>IF(E108="","",ROW()-1)</f>
        <v/>
      </c>
      <c r="B108" s="2" t="inlineStr">
        <is>
          <t>2026-08-19</t>
        </is>
      </c>
      <c r="C108" s="2" t="inlineStr">
        <is>
          <t>10:00</t>
        </is>
      </c>
      <c r="D108" s="2" t="inlineStr">
        <is>
          <t>III Liga - Group 4</t>
        </is>
      </c>
      <c r="E108" s="2" t="inlineStr">
        <is>
          <t>KS Wieczysta Krakow II vs Sokół Kolb.</t>
        </is>
      </c>
      <c r="F108" s="2" t="inlineStr">
        <is>
          <t>PENDIENTE</t>
        </is>
      </c>
      <c r="G108" s="2" t="inlineStr">
        <is>
          <t>SELECCIONAR MERCADO</t>
        </is>
      </c>
      <c r="H108" s="6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2" t="n"/>
      <c r="S108" s="7" t="n"/>
      <c r="T108" s="7">
        <f>IFERROR(1/H108,"")</f>
        <v/>
      </c>
      <c r="U108" s="7">
        <f>IF(OR(S108="",T108=""),"",S108-T108)</f>
        <v/>
      </c>
      <c r="V108" s="7">
        <f>IF(OR(S108="",H108=""),"",S108*H108-1)</f>
        <v/>
      </c>
      <c r="W108" s="2">
        <f>IF(E108="","",ROUND(100*(0.22*I108+0.18*J108+0.18*K108+0.10*L108+0.08*M108+0.06*N108+0.06*O108+0.04*P108+0.04*Q108+0.04*MIN(R108/10,1)),0))</f>
        <v/>
      </c>
      <c r="X108" s="2">
        <f>IF(W108="","",IF(W108&gt;=CONFIG!$B$11,"FUERTE",IF(W108&gt;=CONFIG!$B$12,"MEDIA","BAJA")))</f>
        <v/>
      </c>
      <c r="Y108" s="2">
        <f>IF(OR(H108="",S108=""),"",IF(OR(H108&lt;CONFIG!$B$2,H108&gt;CONFIG!$B$3),"NO APTO",IF(S108&lt;IF(H108&lt;1.6,CONFIG!$B$4,IF(H108&lt;1.7,CONFIG!$B$5,IF(H108&lt;1.8,CONFIG!$B$6,IF(H108&lt;2,CONFIG!$B$7,IF(H108&lt;2.2,CONFIG!$B$8,CONFIG!$B$9))))),"NO APTO",IF(V108&lt;CONFIG!$B$10,"NO APTO",IF(AND(W108&gt;=CONFIG!$B$11,R108&gt;=CONFIG!$B$13),"ALERTA FUERTE",IF(AND(W108&gt;=CONFIG!$B$12,R108&gt;=CONFIG!$B$13),"ALERTA MEDIA","NO APTO"))))))</f>
        <v/>
      </c>
      <c r="Z108" s="2">
        <f>IF(Y108="","",IF(Y108="NO APTO","Revisar cuota/probabilidad/EV/puntuación/muestra",IF(Y108="ALERTA FUERTE","Cumple filtros de cuota + probabilidad + EV + confianza + muestra","Cumple filtros, pero confianza inferior a FUERTE")))</f>
        <v/>
      </c>
    </row>
    <row r="109">
      <c r="A109" s="2">
        <f>IF(E109="","",ROW()-1)</f>
        <v/>
      </c>
      <c r="B109" s="2" t="inlineStr">
        <is>
          <t>2026-08-19</t>
        </is>
      </c>
      <c r="C109" s="2" t="inlineStr">
        <is>
          <t>10:00</t>
        </is>
      </c>
      <c r="D109" s="2" t="inlineStr">
        <is>
          <t>III Liga - Group 4</t>
        </is>
      </c>
      <c r="E109" s="2" t="inlineStr">
        <is>
          <t>Moravia Morawica vs Naprzód</t>
        </is>
      </c>
      <c r="F109" s="2" t="inlineStr">
        <is>
          <t>PENDIENTE</t>
        </is>
      </c>
      <c r="G109" s="2" t="inlineStr">
        <is>
          <t>SELECCIONAR MERCADO</t>
        </is>
      </c>
      <c r="H109" s="6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2" t="n"/>
      <c r="S109" s="7" t="n"/>
      <c r="T109" s="7">
        <f>IFERROR(1/H109,"")</f>
        <v/>
      </c>
      <c r="U109" s="7">
        <f>IF(OR(S109="",T109=""),"",S109-T109)</f>
        <v/>
      </c>
      <c r="V109" s="7">
        <f>IF(OR(S109="",H109=""),"",S109*H109-1)</f>
        <v/>
      </c>
      <c r="W109" s="2">
        <f>IF(E109="","",ROUND(100*(0.22*I109+0.18*J109+0.18*K109+0.10*L109+0.08*M109+0.06*N109+0.06*O109+0.04*P109+0.04*Q109+0.04*MIN(R109/10,1)),0))</f>
        <v/>
      </c>
      <c r="X109" s="2">
        <f>IF(W109="","",IF(W109&gt;=CONFIG!$B$11,"FUERTE",IF(W109&gt;=CONFIG!$B$12,"MEDIA","BAJA")))</f>
        <v/>
      </c>
      <c r="Y109" s="2">
        <f>IF(OR(H109="",S109=""),"",IF(OR(H109&lt;CONFIG!$B$2,H109&gt;CONFIG!$B$3),"NO APTO",IF(S109&lt;IF(H109&lt;1.6,CONFIG!$B$4,IF(H109&lt;1.7,CONFIG!$B$5,IF(H109&lt;1.8,CONFIG!$B$6,IF(H109&lt;2,CONFIG!$B$7,IF(H109&lt;2.2,CONFIG!$B$8,CONFIG!$B$9))))),"NO APTO",IF(V109&lt;CONFIG!$B$10,"NO APTO",IF(AND(W109&gt;=CONFIG!$B$11,R109&gt;=CONFIG!$B$13),"ALERTA FUERTE",IF(AND(W109&gt;=CONFIG!$B$12,R109&gt;=CONFIG!$B$13),"ALERTA MEDIA","NO APTO"))))))</f>
        <v/>
      </c>
      <c r="Z109" s="2">
        <f>IF(Y109="","",IF(Y109="NO APTO","Revisar cuota/probabilidad/EV/puntuación/muestra",IF(Y109="ALERTA FUERTE","Cumple filtros de cuota + probabilidad + EV + confianza + muestra","Cumple filtros, pero confianza inferior a FUERTE")))</f>
        <v/>
      </c>
    </row>
    <row r="110">
      <c r="A110" s="2">
        <f>IF(E110="","",ROW()-1)</f>
        <v/>
      </c>
      <c r="B110" s="2" t="inlineStr">
        <is>
          <t>2026-08-19</t>
        </is>
      </c>
      <c r="C110" s="2" t="inlineStr">
        <is>
          <t>10:00</t>
        </is>
      </c>
      <c r="D110" s="2" t="inlineStr">
        <is>
          <t>III Liga - Group 4</t>
        </is>
      </c>
      <c r="E110" s="2" t="inlineStr">
        <is>
          <t>Siarka Tarnobrzeg vs Jarosław</t>
        </is>
      </c>
      <c r="F110" s="2" t="inlineStr">
        <is>
          <t>PENDIENTE</t>
        </is>
      </c>
      <c r="G110" s="2" t="inlineStr">
        <is>
          <t>SELECCIONAR MERCADO</t>
        </is>
      </c>
      <c r="H110" s="6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2" t="n"/>
      <c r="S110" s="7" t="n"/>
      <c r="T110" s="7">
        <f>IFERROR(1/H110,"")</f>
        <v/>
      </c>
      <c r="U110" s="7">
        <f>IF(OR(S110="",T110=""),"",S110-T110)</f>
        <v/>
      </c>
      <c r="V110" s="7">
        <f>IF(OR(S110="",H110=""),"",S110*H110-1)</f>
        <v/>
      </c>
      <c r="W110" s="2">
        <f>IF(E110="","",ROUND(100*(0.22*I110+0.18*J110+0.18*K110+0.10*L110+0.08*M110+0.06*N110+0.06*O110+0.04*P110+0.04*Q110+0.04*MIN(R110/10,1)),0))</f>
        <v/>
      </c>
      <c r="X110" s="2">
        <f>IF(W110="","",IF(W110&gt;=CONFIG!$B$11,"FUERTE",IF(W110&gt;=CONFIG!$B$12,"MEDIA","BAJA")))</f>
        <v/>
      </c>
      <c r="Y110" s="2">
        <f>IF(OR(H110="",S110=""),"",IF(OR(H110&lt;CONFIG!$B$2,H110&gt;CONFIG!$B$3),"NO APTO",IF(S110&lt;IF(H110&lt;1.6,CONFIG!$B$4,IF(H110&lt;1.7,CONFIG!$B$5,IF(H110&lt;1.8,CONFIG!$B$6,IF(H110&lt;2,CONFIG!$B$7,IF(H110&lt;2.2,CONFIG!$B$8,CONFIG!$B$9))))),"NO APTO",IF(V110&lt;CONFIG!$B$10,"NO APTO",IF(AND(W110&gt;=CONFIG!$B$11,R110&gt;=CONFIG!$B$13),"ALERTA FUERTE",IF(AND(W110&gt;=CONFIG!$B$12,R110&gt;=CONFIG!$B$13),"ALERTA MEDIA","NO APTO"))))))</f>
        <v/>
      </c>
      <c r="Z110" s="2">
        <f>IF(Y110="","",IF(Y110="NO APTO","Revisar cuota/probabilidad/EV/puntuación/muestra",IF(Y110="ALERTA FUERTE","Cumple filtros de cuota + probabilidad + EV + confianza + muestra","Cumple filtros, pero confianza inferior a FUERTE")))</f>
        <v/>
      </c>
    </row>
    <row r="111">
      <c r="A111" s="2">
        <f>IF(E111="","",ROW()-1)</f>
        <v/>
      </c>
      <c r="B111" s="2" t="inlineStr">
        <is>
          <t>2026-08-19</t>
        </is>
      </c>
      <c r="C111" s="2" t="inlineStr">
        <is>
          <t>10:00</t>
        </is>
      </c>
      <c r="D111" s="2" t="inlineStr">
        <is>
          <t>III Liga - Group 4</t>
        </is>
      </c>
      <c r="E111" s="2" t="inlineStr">
        <is>
          <t>Podlasie Biała Podlaska vs Busko-Zdroj</t>
        </is>
      </c>
      <c r="F111" s="2" t="inlineStr">
        <is>
          <t>PENDIENTE</t>
        </is>
      </c>
      <c r="G111" s="2" t="inlineStr">
        <is>
          <t>SELECCIONAR MERCADO</t>
        </is>
      </c>
      <c r="H111" s="6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2" t="n"/>
      <c r="S111" s="7" t="n"/>
      <c r="T111" s="7">
        <f>IFERROR(1/H111,"")</f>
        <v/>
      </c>
      <c r="U111" s="7">
        <f>IF(OR(S111="",T111=""),"",S111-T111)</f>
        <v/>
      </c>
      <c r="V111" s="7">
        <f>IF(OR(S111="",H111=""),"",S111*H111-1)</f>
        <v/>
      </c>
      <c r="W111" s="2">
        <f>IF(E111="","",ROUND(100*(0.22*I111+0.18*J111+0.18*K111+0.10*L111+0.08*M111+0.06*N111+0.06*O111+0.04*P111+0.04*Q111+0.04*MIN(R111/10,1)),0))</f>
        <v/>
      </c>
      <c r="X111" s="2">
        <f>IF(W111="","",IF(W111&gt;=CONFIG!$B$11,"FUERTE",IF(W111&gt;=CONFIG!$B$12,"MEDIA","BAJA")))</f>
        <v/>
      </c>
      <c r="Y111" s="2">
        <f>IF(OR(H111="",S111=""),"",IF(OR(H111&lt;CONFIG!$B$2,H111&gt;CONFIG!$B$3),"NO APTO",IF(S111&lt;IF(H111&lt;1.6,CONFIG!$B$4,IF(H111&lt;1.7,CONFIG!$B$5,IF(H111&lt;1.8,CONFIG!$B$6,IF(H111&lt;2,CONFIG!$B$7,IF(H111&lt;2.2,CONFIG!$B$8,CONFIG!$B$9))))),"NO APTO",IF(V111&lt;CONFIG!$B$10,"NO APTO",IF(AND(W111&gt;=CONFIG!$B$11,R111&gt;=CONFIG!$B$13),"ALERTA FUERTE",IF(AND(W111&gt;=CONFIG!$B$12,R111&gt;=CONFIG!$B$13),"ALERTA MEDIA","NO APTO"))))))</f>
        <v/>
      </c>
      <c r="Z111" s="2">
        <f>IF(Y111="","",IF(Y111="NO APTO","Revisar cuota/probabilidad/EV/puntuación/muestra",IF(Y111="ALERTA FUERTE","Cumple filtros de cuota + probabilidad + EV + confianza + muestra","Cumple filtros, pero confianza inferior a FUERTE")))</f>
        <v/>
      </c>
    </row>
    <row r="112">
      <c r="A112" s="2">
        <f>IF(E112="","",ROW()-1)</f>
        <v/>
      </c>
      <c r="B112" s="2" t="inlineStr">
        <is>
          <t>2026-08-19</t>
        </is>
      </c>
      <c r="C112" s="2" t="inlineStr">
        <is>
          <t>10:00</t>
        </is>
      </c>
      <c r="D112" s="2" t="inlineStr">
        <is>
          <t>III Liga - Group 3</t>
        </is>
      </c>
      <c r="E112" s="2" t="inlineStr">
        <is>
          <t>Sparta Katowice vs Goczałkowice Zdrój</t>
        </is>
      </c>
      <c r="F112" s="2" t="inlineStr">
        <is>
          <t>PENDIENTE</t>
        </is>
      </c>
      <c r="G112" s="2" t="inlineStr">
        <is>
          <t>SELECCIONAR MERCADO</t>
        </is>
      </c>
      <c r="H112" s="6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2" t="n"/>
      <c r="S112" s="7" t="n"/>
      <c r="T112" s="7">
        <f>IFERROR(1/H112,"")</f>
        <v/>
      </c>
      <c r="U112" s="7">
        <f>IF(OR(S112="",T112=""),"",S112-T112)</f>
        <v/>
      </c>
      <c r="V112" s="7">
        <f>IF(OR(S112="",H112=""),"",S112*H112-1)</f>
        <v/>
      </c>
      <c r="W112" s="2">
        <f>IF(E112="","",ROUND(100*(0.22*I112+0.18*J112+0.18*K112+0.10*L112+0.08*M112+0.06*N112+0.06*O112+0.04*P112+0.04*Q112+0.04*MIN(R112/10,1)),0))</f>
        <v/>
      </c>
      <c r="X112" s="2">
        <f>IF(W112="","",IF(W112&gt;=CONFIG!$B$11,"FUERTE",IF(W112&gt;=CONFIG!$B$12,"MEDIA","BAJA")))</f>
        <v/>
      </c>
      <c r="Y112" s="2">
        <f>IF(OR(H112="",S112=""),"",IF(OR(H112&lt;CONFIG!$B$2,H112&gt;CONFIG!$B$3),"NO APTO",IF(S112&lt;IF(H112&lt;1.6,CONFIG!$B$4,IF(H112&lt;1.7,CONFIG!$B$5,IF(H112&lt;1.8,CONFIG!$B$6,IF(H112&lt;2,CONFIG!$B$7,IF(H112&lt;2.2,CONFIG!$B$8,CONFIG!$B$9))))),"NO APTO",IF(V112&lt;CONFIG!$B$10,"NO APTO",IF(AND(W112&gt;=CONFIG!$B$11,R112&gt;=CONFIG!$B$13),"ALERTA FUERTE",IF(AND(W112&gt;=CONFIG!$B$12,R112&gt;=CONFIG!$B$13),"ALERTA MEDIA","NO APTO"))))))</f>
        <v/>
      </c>
      <c r="Z112" s="2">
        <f>IF(Y112="","",IF(Y112="NO APTO","Revisar cuota/probabilidad/EV/puntuación/muestra",IF(Y112="ALERTA FUERTE","Cumple filtros de cuota + probabilidad + EV + confianza + muestra","Cumple filtros, pero confianza inferior a FUERTE")))</f>
        <v/>
      </c>
    </row>
    <row r="113">
      <c r="A113" s="2">
        <f>IF(E113="","",ROW()-1)</f>
        <v/>
      </c>
      <c r="B113" s="2" t="inlineStr">
        <is>
          <t>2026-08-19</t>
        </is>
      </c>
      <c r="C113" s="2" t="inlineStr">
        <is>
          <t>10:00</t>
        </is>
      </c>
      <c r="D113" s="2" t="inlineStr">
        <is>
          <t>III Liga - Group 3</t>
        </is>
      </c>
      <c r="E113" s="2" t="inlineStr">
        <is>
          <t>Karkonosze Jelenia Góra vs Barycz Sułów</t>
        </is>
      </c>
      <c r="F113" s="2" t="inlineStr">
        <is>
          <t>PENDIENTE</t>
        </is>
      </c>
      <c r="G113" s="2" t="inlineStr">
        <is>
          <t>SELECCIONAR MERCADO</t>
        </is>
      </c>
      <c r="H113" s="6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2" t="n"/>
      <c r="S113" s="7" t="n"/>
      <c r="T113" s="7">
        <f>IFERROR(1/H113,"")</f>
        <v/>
      </c>
      <c r="U113" s="7">
        <f>IF(OR(S113="",T113=""),"",S113-T113)</f>
        <v/>
      </c>
      <c r="V113" s="7">
        <f>IF(OR(S113="",H113=""),"",S113*H113-1)</f>
        <v/>
      </c>
      <c r="W113" s="2">
        <f>IF(E113="","",ROUND(100*(0.22*I113+0.18*J113+0.18*K113+0.10*L113+0.08*M113+0.06*N113+0.06*O113+0.04*P113+0.04*Q113+0.04*MIN(R113/10,1)),0))</f>
        <v/>
      </c>
      <c r="X113" s="2">
        <f>IF(W113="","",IF(W113&gt;=CONFIG!$B$11,"FUERTE",IF(W113&gt;=CONFIG!$B$12,"MEDIA","BAJA")))</f>
        <v/>
      </c>
      <c r="Y113" s="2">
        <f>IF(OR(H113="",S113=""),"",IF(OR(H113&lt;CONFIG!$B$2,H113&gt;CONFIG!$B$3),"NO APTO",IF(S113&lt;IF(H113&lt;1.6,CONFIG!$B$4,IF(H113&lt;1.7,CONFIG!$B$5,IF(H113&lt;1.8,CONFIG!$B$6,IF(H113&lt;2,CONFIG!$B$7,IF(H113&lt;2.2,CONFIG!$B$8,CONFIG!$B$9))))),"NO APTO",IF(V113&lt;CONFIG!$B$10,"NO APTO",IF(AND(W113&gt;=CONFIG!$B$11,R113&gt;=CONFIG!$B$13),"ALERTA FUERTE",IF(AND(W113&gt;=CONFIG!$B$12,R113&gt;=CONFIG!$B$13),"ALERTA MEDIA","NO APTO"))))))</f>
        <v/>
      </c>
      <c r="Z113" s="2">
        <f>IF(Y113="","",IF(Y113="NO APTO","Revisar cuota/probabilidad/EV/puntuación/muestra",IF(Y113="ALERTA FUERTE","Cumple filtros de cuota + probabilidad + EV + confianza + muestra","Cumple filtros, pero confianza inferior a FUERTE")))</f>
        <v/>
      </c>
    </row>
    <row r="114">
      <c r="A114" s="2">
        <f>IF(E114="","",ROW()-1)</f>
        <v/>
      </c>
      <c r="B114" s="2" t="inlineStr">
        <is>
          <t>2026-08-19</t>
        </is>
      </c>
      <c r="C114" s="2" t="inlineStr">
        <is>
          <t>10:00</t>
        </is>
      </c>
      <c r="D114" s="2" t="inlineStr">
        <is>
          <t>III Liga - Group 3</t>
        </is>
      </c>
      <c r="E114" s="2" t="inlineStr">
        <is>
          <t>Kluczbork vs Zagłębie Lubin II</t>
        </is>
      </c>
      <c r="F114" s="2" t="inlineStr">
        <is>
          <t>PENDIENTE</t>
        </is>
      </c>
      <c r="G114" s="2" t="inlineStr">
        <is>
          <t>SELECCIONAR MERCADO</t>
        </is>
      </c>
      <c r="H114" s="6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2" t="n"/>
      <c r="S114" s="7" t="n"/>
      <c r="T114" s="7">
        <f>IFERROR(1/H114,"")</f>
        <v/>
      </c>
      <c r="U114" s="7">
        <f>IF(OR(S114="",T114=""),"",S114-T114)</f>
        <v/>
      </c>
      <c r="V114" s="7">
        <f>IF(OR(S114="",H114=""),"",S114*H114-1)</f>
        <v/>
      </c>
      <c r="W114" s="2">
        <f>IF(E114="","",ROUND(100*(0.22*I114+0.18*J114+0.18*K114+0.10*L114+0.08*M114+0.06*N114+0.06*O114+0.04*P114+0.04*Q114+0.04*MIN(R114/10,1)),0))</f>
        <v/>
      </c>
      <c r="X114" s="2">
        <f>IF(W114="","",IF(W114&gt;=CONFIG!$B$11,"FUERTE",IF(W114&gt;=CONFIG!$B$12,"MEDIA","BAJA")))</f>
        <v/>
      </c>
      <c r="Y114" s="2">
        <f>IF(OR(H114="",S114=""),"",IF(OR(H114&lt;CONFIG!$B$2,H114&gt;CONFIG!$B$3),"NO APTO",IF(S114&lt;IF(H114&lt;1.6,CONFIG!$B$4,IF(H114&lt;1.7,CONFIG!$B$5,IF(H114&lt;1.8,CONFIG!$B$6,IF(H114&lt;2,CONFIG!$B$7,IF(H114&lt;2.2,CONFIG!$B$8,CONFIG!$B$9))))),"NO APTO",IF(V114&lt;CONFIG!$B$10,"NO APTO",IF(AND(W114&gt;=CONFIG!$B$11,R114&gt;=CONFIG!$B$13),"ALERTA FUERTE",IF(AND(W114&gt;=CONFIG!$B$12,R114&gt;=CONFIG!$B$13),"ALERTA MEDIA","NO APTO"))))))</f>
        <v/>
      </c>
      <c r="Z114" s="2">
        <f>IF(Y114="","",IF(Y114="NO APTO","Revisar cuota/probabilidad/EV/puntuación/muestra",IF(Y114="ALERTA FUERTE","Cumple filtros de cuota + probabilidad + EV + confianza + muestra","Cumple filtros, pero confianza inferior a FUERTE")))</f>
        <v/>
      </c>
    </row>
    <row r="115">
      <c r="A115" s="2">
        <f>IF(E115="","",ROW()-1)</f>
        <v/>
      </c>
      <c r="B115" s="2" t="inlineStr">
        <is>
          <t>2026-08-19</t>
        </is>
      </c>
      <c r="C115" s="2" t="inlineStr">
        <is>
          <t>10:00</t>
        </is>
      </c>
      <c r="D115" s="2" t="inlineStr">
        <is>
          <t>III Liga - Group 3</t>
        </is>
      </c>
      <c r="E115" s="2" t="inlineStr">
        <is>
          <t>Warta Gorzów vs Górnik Polkowice</t>
        </is>
      </c>
      <c r="F115" s="2" t="inlineStr">
        <is>
          <t>PENDIENTE</t>
        </is>
      </c>
      <c r="G115" s="2" t="inlineStr">
        <is>
          <t>SELECCIONAR MERCADO</t>
        </is>
      </c>
      <c r="H115" s="6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2" t="n"/>
      <c r="S115" s="7" t="n"/>
      <c r="T115" s="7">
        <f>IFERROR(1/H115,"")</f>
        <v/>
      </c>
      <c r="U115" s="7">
        <f>IF(OR(S115="",T115=""),"",S115-T115)</f>
        <v/>
      </c>
      <c r="V115" s="7">
        <f>IF(OR(S115="",H115=""),"",S115*H115-1)</f>
        <v/>
      </c>
      <c r="W115" s="2">
        <f>IF(E115="","",ROUND(100*(0.22*I115+0.18*J115+0.18*K115+0.10*L115+0.08*M115+0.06*N115+0.06*O115+0.04*P115+0.04*Q115+0.04*MIN(R115/10,1)),0))</f>
        <v/>
      </c>
      <c r="X115" s="2">
        <f>IF(W115="","",IF(W115&gt;=CONFIG!$B$11,"FUERTE",IF(W115&gt;=CONFIG!$B$12,"MEDIA","BAJA")))</f>
        <v/>
      </c>
      <c r="Y115" s="2">
        <f>IF(OR(H115="",S115=""),"",IF(OR(H115&lt;CONFIG!$B$2,H115&gt;CONFIG!$B$3),"NO APTO",IF(S115&lt;IF(H115&lt;1.6,CONFIG!$B$4,IF(H115&lt;1.7,CONFIG!$B$5,IF(H115&lt;1.8,CONFIG!$B$6,IF(H115&lt;2,CONFIG!$B$7,IF(H115&lt;2.2,CONFIG!$B$8,CONFIG!$B$9))))),"NO APTO",IF(V115&lt;CONFIG!$B$10,"NO APTO",IF(AND(W115&gt;=CONFIG!$B$11,R115&gt;=CONFIG!$B$13),"ALERTA FUERTE",IF(AND(W115&gt;=CONFIG!$B$12,R115&gt;=CONFIG!$B$13),"ALERTA MEDIA","NO APTO"))))))</f>
        <v/>
      </c>
      <c r="Z115" s="2">
        <f>IF(Y115="","",IF(Y115="NO APTO","Revisar cuota/probabilidad/EV/puntuación/muestra",IF(Y115="ALERTA FUERTE","Cumple filtros de cuota + probabilidad + EV + confianza + muestra","Cumple filtros, pero confianza inferior a FUERTE")))</f>
        <v/>
      </c>
    </row>
    <row r="116">
      <c r="A116" s="2">
        <f>IF(E116="","",ROW()-1)</f>
        <v/>
      </c>
      <c r="B116" s="2" t="inlineStr">
        <is>
          <t>2026-08-19</t>
        </is>
      </c>
      <c r="C116" s="2" t="inlineStr">
        <is>
          <t>10:00</t>
        </is>
      </c>
      <c r="D116" s="2" t="inlineStr">
        <is>
          <t>III Liga - Group 2</t>
        </is>
      </c>
      <c r="E116" s="2" t="inlineStr">
        <is>
          <t>Kalisz vs Noteć Czarnków</t>
        </is>
      </c>
      <c r="F116" s="2" t="inlineStr">
        <is>
          <t>PENDIENTE</t>
        </is>
      </c>
      <c r="G116" s="2" t="inlineStr">
        <is>
          <t>SELECCIONAR MERCADO</t>
        </is>
      </c>
      <c r="H116" s="6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2" t="n"/>
      <c r="S116" s="7" t="n"/>
      <c r="T116" s="7">
        <f>IFERROR(1/H116,"")</f>
        <v/>
      </c>
      <c r="U116" s="7">
        <f>IF(OR(S116="",T116=""),"",S116-T116)</f>
        <v/>
      </c>
      <c r="V116" s="7">
        <f>IF(OR(S116="",H116=""),"",S116*H116-1)</f>
        <v/>
      </c>
      <c r="W116" s="2">
        <f>IF(E116="","",ROUND(100*(0.22*I116+0.18*J116+0.18*K116+0.10*L116+0.08*M116+0.06*N116+0.06*O116+0.04*P116+0.04*Q116+0.04*MIN(R116/10,1)),0))</f>
        <v/>
      </c>
      <c r="X116" s="2">
        <f>IF(W116="","",IF(W116&gt;=CONFIG!$B$11,"FUERTE",IF(W116&gt;=CONFIG!$B$12,"MEDIA","BAJA")))</f>
        <v/>
      </c>
      <c r="Y116" s="2">
        <f>IF(OR(H116="",S116=""),"",IF(OR(H116&lt;CONFIG!$B$2,H116&gt;CONFIG!$B$3),"NO APTO",IF(S116&lt;IF(H116&lt;1.6,CONFIG!$B$4,IF(H116&lt;1.7,CONFIG!$B$5,IF(H116&lt;1.8,CONFIG!$B$6,IF(H116&lt;2,CONFIG!$B$7,IF(H116&lt;2.2,CONFIG!$B$8,CONFIG!$B$9))))),"NO APTO",IF(V116&lt;CONFIG!$B$10,"NO APTO",IF(AND(W116&gt;=CONFIG!$B$11,R116&gt;=CONFIG!$B$13),"ALERTA FUERTE",IF(AND(W116&gt;=CONFIG!$B$12,R116&gt;=CONFIG!$B$13),"ALERTA MEDIA","NO APTO"))))))</f>
        <v/>
      </c>
      <c r="Z116" s="2">
        <f>IF(Y116="","",IF(Y116="NO APTO","Revisar cuota/probabilidad/EV/puntuación/muestra",IF(Y116="ALERTA FUERTE","Cumple filtros de cuota + probabilidad + EV + confianza + muestra","Cumple filtros, pero confianza inferior a FUERTE")))</f>
        <v/>
      </c>
    </row>
    <row r="117">
      <c r="A117" s="2">
        <f>IF(E117="","",ROW()-1)</f>
        <v/>
      </c>
      <c r="B117" s="2" t="inlineStr">
        <is>
          <t>2026-08-19</t>
        </is>
      </c>
      <c r="C117" s="2" t="inlineStr">
        <is>
          <t>10:00</t>
        </is>
      </c>
      <c r="D117" s="2" t="inlineStr">
        <is>
          <t>III Liga - Group 2</t>
        </is>
      </c>
      <c r="E117" s="2" t="inlineStr">
        <is>
          <t>Luzino vs Chemik Bydgoszcz</t>
        </is>
      </c>
      <c r="F117" s="2" t="inlineStr">
        <is>
          <t>PENDIENTE</t>
        </is>
      </c>
      <c r="G117" s="2" t="inlineStr">
        <is>
          <t>SELECCIONAR MERCADO</t>
        </is>
      </c>
      <c r="H117" s="6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2" t="n"/>
      <c r="S117" s="7" t="n"/>
      <c r="T117" s="7">
        <f>IFERROR(1/H117,"")</f>
        <v/>
      </c>
      <c r="U117" s="7">
        <f>IF(OR(S117="",T117=""),"",S117-T117)</f>
        <v/>
      </c>
      <c r="V117" s="7">
        <f>IF(OR(S117="",H117=""),"",S117*H117-1)</f>
        <v/>
      </c>
      <c r="W117" s="2">
        <f>IF(E117="","",ROUND(100*(0.22*I117+0.18*J117+0.18*K117+0.10*L117+0.08*M117+0.06*N117+0.06*O117+0.04*P117+0.04*Q117+0.04*MIN(R117/10,1)),0))</f>
        <v/>
      </c>
      <c r="X117" s="2">
        <f>IF(W117="","",IF(W117&gt;=CONFIG!$B$11,"FUERTE",IF(W117&gt;=CONFIG!$B$12,"MEDIA","BAJA")))</f>
        <v/>
      </c>
      <c r="Y117" s="2">
        <f>IF(OR(H117="",S117=""),"",IF(OR(H117&lt;CONFIG!$B$2,H117&gt;CONFIG!$B$3),"NO APTO",IF(S117&lt;IF(H117&lt;1.6,CONFIG!$B$4,IF(H117&lt;1.7,CONFIG!$B$5,IF(H117&lt;1.8,CONFIG!$B$6,IF(H117&lt;2,CONFIG!$B$7,IF(H117&lt;2.2,CONFIG!$B$8,CONFIG!$B$9))))),"NO APTO",IF(V117&lt;CONFIG!$B$10,"NO APTO",IF(AND(W117&gt;=CONFIG!$B$11,R117&gt;=CONFIG!$B$13),"ALERTA FUERTE",IF(AND(W117&gt;=CONFIG!$B$12,R117&gt;=CONFIG!$B$13),"ALERTA MEDIA","NO APTO"))))))</f>
        <v/>
      </c>
      <c r="Z117" s="2">
        <f>IF(Y117="","",IF(Y117="NO APTO","Revisar cuota/probabilidad/EV/puntuación/muestra",IF(Y117="ALERTA FUERTE","Cumple filtros de cuota + probabilidad + EV + confianza + muestra","Cumple filtros, pero confianza inferior a FUERTE")))</f>
        <v/>
      </c>
    </row>
    <row r="118">
      <c r="A118" s="2">
        <f>IF(E118="","",ROW()-1)</f>
        <v/>
      </c>
      <c r="B118" s="2" t="inlineStr">
        <is>
          <t>2026-08-19</t>
        </is>
      </c>
      <c r="C118" s="2" t="inlineStr">
        <is>
          <t>10:00</t>
        </is>
      </c>
      <c r="D118" s="2" t="inlineStr">
        <is>
          <t>III Liga - Group 2</t>
        </is>
      </c>
      <c r="E118" s="2" t="inlineStr">
        <is>
          <t>Flota Świnoujście vs Victoria Września</t>
        </is>
      </c>
      <c r="F118" s="2" t="inlineStr">
        <is>
          <t>PENDIENTE</t>
        </is>
      </c>
      <c r="G118" s="2" t="inlineStr">
        <is>
          <t>SELECCIONAR MERCADO</t>
        </is>
      </c>
      <c r="H118" s="6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2" t="n"/>
      <c r="S118" s="7" t="n"/>
      <c r="T118" s="7">
        <f>IFERROR(1/H118,"")</f>
        <v/>
      </c>
      <c r="U118" s="7">
        <f>IF(OR(S118="",T118=""),"",S118-T118)</f>
        <v/>
      </c>
      <c r="V118" s="7">
        <f>IF(OR(S118="",H118=""),"",S118*H118-1)</f>
        <v/>
      </c>
      <c r="W118" s="2">
        <f>IF(E118="","",ROUND(100*(0.22*I118+0.18*J118+0.18*K118+0.10*L118+0.08*M118+0.06*N118+0.06*O118+0.04*P118+0.04*Q118+0.04*MIN(R118/10,1)),0))</f>
        <v/>
      </c>
      <c r="X118" s="2">
        <f>IF(W118="","",IF(W118&gt;=CONFIG!$B$11,"FUERTE",IF(W118&gt;=CONFIG!$B$12,"MEDIA","BAJA")))</f>
        <v/>
      </c>
      <c r="Y118" s="2">
        <f>IF(OR(H118="",S118=""),"",IF(OR(H118&lt;CONFIG!$B$2,H118&gt;CONFIG!$B$3),"NO APTO",IF(S118&lt;IF(H118&lt;1.6,CONFIG!$B$4,IF(H118&lt;1.7,CONFIG!$B$5,IF(H118&lt;1.8,CONFIG!$B$6,IF(H118&lt;2,CONFIG!$B$7,IF(H118&lt;2.2,CONFIG!$B$8,CONFIG!$B$9))))),"NO APTO",IF(V118&lt;CONFIG!$B$10,"NO APTO",IF(AND(W118&gt;=CONFIG!$B$11,R118&gt;=CONFIG!$B$13),"ALERTA FUERTE",IF(AND(W118&gt;=CONFIG!$B$12,R118&gt;=CONFIG!$B$13),"ALERTA MEDIA","NO APTO"))))))</f>
        <v/>
      </c>
      <c r="Z118" s="2">
        <f>IF(Y118="","",IF(Y118="NO APTO","Revisar cuota/probabilidad/EV/puntuación/muestra",IF(Y118="ALERTA FUERTE","Cumple filtros de cuota + probabilidad + EV + confianza + muestra","Cumple filtros, pero confianza inferior a FUERTE")))</f>
        <v/>
      </c>
    </row>
    <row r="119">
      <c r="A119" s="2">
        <f>IF(E119="","",ROW()-1)</f>
        <v/>
      </c>
      <c r="B119" s="2" t="inlineStr">
        <is>
          <t>2026-08-19</t>
        </is>
      </c>
      <c r="C119" s="2" t="inlineStr">
        <is>
          <t>10:00</t>
        </is>
      </c>
      <c r="D119" s="2" t="inlineStr">
        <is>
          <t>III Liga - Group 2</t>
        </is>
      </c>
      <c r="E119" s="2" t="inlineStr">
        <is>
          <t>Wda Świecie vs Grom Nowy Staw</t>
        </is>
      </c>
      <c r="F119" s="2" t="inlineStr">
        <is>
          <t>PENDIENTE</t>
        </is>
      </c>
      <c r="G119" s="2" t="inlineStr">
        <is>
          <t>SELECCIONAR MERCADO</t>
        </is>
      </c>
      <c r="H119" s="6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2" t="n"/>
      <c r="S119" s="7" t="n"/>
      <c r="T119" s="7">
        <f>IFERROR(1/H119,"")</f>
        <v/>
      </c>
      <c r="U119" s="7">
        <f>IF(OR(S119="",T119=""),"",S119-T119)</f>
        <v/>
      </c>
      <c r="V119" s="7">
        <f>IF(OR(S119="",H119=""),"",S119*H119-1)</f>
        <v/>
      </c>
      <c r="W119" s="2">
        <f>IF(E119="","",ROUND(100*(0.22*I119+0.18*J119+0.18*K119+0.10*L119+0.08*M119+0.06*N119+0.06*O119+0.04*P119+0.04*Q119+0.04*MIN(R119/10,1)),0))</f>
        <v/>
      </c>
      <c r="X119" s="2">
        <f>IF(W119="","",IF(W119&gt;=CONFIG!$B$11,"FUERTE",IF(W119&gt;=CONFIG!$B$12,"MEDIA","BAJA")))</f>
        <v/>
      </c>
      <c r="Y119" s="2">
        <f>IF(OR(H119="",S119=""),"",IF(OR(H119&lt;CONFIG!$B$2,H119&gt;CONFIG!$B$3),"NO APTO",IF(S119&lt;IF(H119&lt;1.6,CONFIG!$B$4,IF(H119&lt;1.7,CONFIG!$B$5,IF(H119&lt;1.8,CONFIG!$B$6,IF(H119&lt;2,CONFIG!$B$7,IF(H119&lt;2.2,CONFIG!$B$8,CONFIG!$B$9))))),"NO APTO",IF(V119&lt;CONFIG!$B$10,"NO APTO",IF(AND(W119&gt;=CONFIG!$B$11,R119&gt;=CONFIG!$B$13),"ALERTA FUERTE",IF(AND(W119&gt;=CONFIG!$B$12,R119&gt;=CONFIG!$B$13),"ALERTA MEDIA","NO APTO"))))))</f>
        <v/>
      </c>
      <c r="Z119" s="2">
        <f>IF(Y119="","",IF(Y119="NO APTO","Revisar cuota/probabilidad/EV/puntuación/muestra",IF(Y119="ALERTA FUERTE","Cumple filtros de cuota + probabilidad + EV + confianza + muestra","Cumple filtros, pero confianza inferior a FUERTE")))</f>
        <v/>
      </c>
    </row>
    <row r="120">
      <c r="A120" s="2">
        <f>IF(E120="","",ROW()-1)</f>
        <v/>
      </c>
      <c r="B120" s="2" t="inlineStr">
        <is>
          <t>2026-08-19</t>
        </is>
      </c>
      <c r="C120" s="2" t="inlineStr">
        <is>
          <t>10:00</t>
        </is>
      </c>
      <c r="D120" s="2" t="inlineStr">
        <is>
          <t>III Liga - Group 1</t>
        </is>
      </c>
      <c r="E120" s="2" t="inlineStr">
        <is>
          <t>Polonia Lidzbark Warm. vs Olimpia Zambrów</t>
        </is>
      </c>
      <c r="F120" s="2" t="inlineStr">
        <is>
          <t>PENDIENTE</t>
        </is>
      </c>
      <c r="G120" s="2" t="inlineStr">
        <is>
          <t>SELECCIONAR MERCADO</t>
        </is>
      </c>
      <c r="H120" s="6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2" t="n"/>
      <c r="S120" s="7" t="n"/>
      <c r="T120" s="7">
        <f>IFERROR(1/H120,"")</f>
        <v/>
      </c>
      <c r="U120" s="7">
        <f>IF(OR(S120="",T120=""),"",S120-T120)</f>
        <v/>
      </c>
      <c r="V120" s="7">
        <f>IF(OR(S120="",H120=""),"",S120*H120-1)</f>
        <v/>
      </c>
      <c r="W120" s="2">
        <f>IF(E120="","",ROUND(100*(0.22*I120+0.18*J120+0.18*K120+0.10*L120+0.08*M120+0.06*N120+0.06*O120+0.04*P120+0.04*Q120+0.04*MIN(R120/10,1)),0))</f>
        <v/>
      </c>
      <c r="X120" s="2">
        <f>IF(W120="","",IF(W120&gt;=CONFIG!$B$11,"FUERTE",IF(W120&gt;=CONFIG!$B$12,"MEDIA","BAJA")))</f>
        <v/>
      </c>
      <c r="Y120" s="2">
        <f>IF(OR(H120="",S120=""),"",IF(OR(H120&lt;CONFIG!$B$2,H120&gt;CONFIG!$B$3),"NO APTO",IF(S120&lt;IF(H120&lt;1.6,CONFIG!$B$4,IF(H120&lt;1.7,CONFIG!$B$5,IF(H120&lt;1.8,CONFIG!$B$6,IF(H120&lt;2,CONFIG!$B$7,IF(H120&lt;2.2,CONFIG!$B$8,CONFIG!$B$9))))),"NO APTO",IF(V120&lt;CONFIG!$B$10,"NO APTO",IF(AND(W120&gt;=CONFIG!$B$11,R120&gt;=CONFIG!$B$13),"ALERTA FUERTE",IF(AND(W120&gt;=CONFIG!$B$12,R120&gt;=CONFIG!$B$13),"ALERTA MEDIA","NO APTO"))))))</f>
        <v/>
      </c>
      <c r="Z120" s="2">
        <f>IF(Y120="","",IF(Y120="NO APTO","Revisar cuota/probabilidad/EV/puntuación/muestra",IF(Y120="ALERTA FUERTE","Cumple filtros de cuota + probabilidad + EV + confianza + muestra","Cumple filtros, pero confianza inferior a FUERTE")))</f>
        <v/>
      </c>
    </row>
    <row r="121">
      <c r="A121" s="2">
        <f>IF(E121="","",ROW()-1)</f>
        <v/>
      </c>
      <c r="B121" s="2" t="inlineStr">
        <is>
          <t>2026-08-19</t>
        </is>
      </c>
      <c r="C121" s="2" t="inlineStr">
        <is>
          <t>10:00</t>
        </is>
      </c>
      <c r="D121" s="2" t="inlineStr">
        <is>
          <t>III Liga - Group 1</t>
        </is>
      </c>
      <c r="E121" s="2" t="inlineStr">
        <is>
          <t>Mławianka Mława vs Lechia T. Mazowiecki</t>
        </is>
      </c>
      <c r="F121" s="2" t="inlineStr">
        <is>
          <t>PENDIENTE</t>
        </is>
      </c>
      <c r="G121" s="2" t="inlineStr">
        <is>
          <t>SELECCIONAR MERCADO</t>
        </is>
      </c>
      <c r="H121" s="6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2" t="n"/>
      <c r="S121" s="7" t="n"/>
      <c r="T121" s="7">
        <f>IFERROR(1/H121,"")</f>
        <v/>
      </c>
      <c r="U121" s="7">
        <f>IF(OR(S121="",T121=""),"",S121-T121)</f>
        <v/>
      </c>
      <c r="V121" s="7">
        <f>IF(OR(S121="",H121=""),"",S121*H121-1)</f>
        <v/>
      </c>
      <c r="W121" s="2">
        <f>IF(E121="","",ROUND(100*(0.22*I121+0.18*J121+0.18*K121+0.10*L121+0.08*M121+0.06*N121+0.06*O121+0.04*P121+0.04*Q121+0.04*MIN(R121/10,1)),0))</f>
        <v/>
      </c>
      <c r="X121" s="2">
        <f>IF(W121="","",IF(W121&gt;=CONFIG!$B$11,"FUERTE",IF(W121&gt;=CONFIG!$B$12,"MEDIA","BAJA")))</f>
        <v/>
      </c>
      <c r="Y121" s="2">
        <f>IF(OR(H121="",S121=""),"",IF(OR(H121&lt;CONFIG!$B$2,H121&gt;CONFIG!$B$3),"NO APTO",IF(S121&lt;IF(H121&lt;1.6,CONFIG!$B$4,IF(H121&lt;1.7,CONFIG!$B$5,IF(H121&lt;1.8,CONFIG!$B$6,IF(H121&lt;2,CONFIG!$B$7,IF(H121&lt;2.2,CONFIG!$B$8,CONFIG!$B$9))))),"NO APTO",IF(V121&lt;CONFIG!$B$10,"NO APTO",IF(AND(W121&gt;=CONFIG!$B$11,R121&gt;=CONFIG!$B$13),"ALERTA FUERTE",IF(AND(W121&gt;=CONFIG!$B$12,R121&gt;=CONFIG!$B$13),"ALERTA MEDIA","NO APTO"))))))</f>
        <v/>
      </c>
      <c r="Z121" s="2">
        <f>IF(Y121="","",IF(Y121="NO APTO","Revisar cuota/probabilidad/EV/puntuación/muestra",IF(Y121="ALERTA FUERTE","Cumple filtros de cuota + probabilidad + EV + confianza + muestra","Cumple filtros, pero confianza inferior a FUERTE")))</f>
        <v/>
      </c>
    </row>
    <row r="122">
      <c r="A122" s="2">
        <f>IF(E122="","",ROW()-1)</f>
        <v/>
      </c>
      <c r="B122" s="2" t="inlineStr">
        <is>
          <t>2026-08-19</t>
        </is>
      </c>
      <c r="C122" s="2" t="inlineStr">
        <is>
          <t>10:00</t>
        </is>
      </c>
      <c r="D122" s="2" t="inlineStr">
        <is>
          <t>III Liga - Group 1</t>
        </is>
      </c>
      <c r="E122" s="2" t="inlineStr">
        <is>
          <t>Olimpia Elbląg vs Widzew II</t>
        </is>
      </c>
      <c r="F122" s="2" t="inlineStr">
        <is>
          <t>PENDIENTE</t>
        </is>
      </c>
      <c r="G122" s="2" t="inlineStr">
        <is>
          <t>SELECCIONAR MERCADO</t>
        </is>
      </c>
      <c r="H122" s="6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2" t="n"/>
      <c r="S122" s="7" t="n"/>
      <c r="T122" s="7">
        <f>IFERROR(1/H122,"")</f>
        <v/>
      </c>
      <c r="U122" s="7">
        <f>IF(OR(S122="",T122=""),"",S122-T122)</f>
        <v/>
      </c>
      <c r="V122" s="7">
        <f>IF(OR(S122="",H122=""),"",S122*H122-1)</f>
        <v/>
      </c>
      <c r="W122" s="2">
        <f>IF(E122="","",ROUND(100*(0.22*I122+0.18*J122+0.18*K122+0.10*L122+0.08*M122+0.06*N122+0.06*O122+0.04*P122+0.04*Q122+0.04*MIN(R122/10,1)),0))</f>
        <v/>
      </c>
      <c r="X122" s="2">
        <f>IF(W122="","",IF(W122&gt;=CONFIG!$B$11,"FUERTE",IF(W122&gt;=CONFIG!$B$12,"MEDIA","BAJA")))</f>
        <v/>
      </c>
      <c r="Y122" s="2">
        <f>IF(OR(H122="",S122=""),"",IF(OR(H122&lt;CONFIG!$B$2,H122&gt;CONFIG!$B$3),"NO APTO",IF(S122&lt;IF(H122&lt;1.6,CONFIG!$B$4,IF(H122&lt;1.7,CONFIG!$B$5,IF(H122&lt;1.8,CONFIG!$B$6,IF(H122&lt;2,CONFIG!$B$7,IF(H122&lt;2.2,CONFIG!$B$8,CONFIG!$B$9))))),"NO APTO",IF(V122&lt;CONFIG!$B$10,"NO APTO",IF(AND(W122&gt;=CONFIG!$B$11,R122&gt;=CONFIG!$B$13),"ALERTA FUERTE",IF(AND(W122&gt;=CONFIG!$B$12,R122&gt;=CONFIG!$B$13),"ALERTA MEDIA","NO APTO"))))))</f>
        <v/>
      </c>
      <c r="Z122" s="2">
        <f>IF(Y122="","",IF(Y122="NO APTO","Revisar cuota/probabilidad/EV/puntuación/muestra",IF(Y122="ALERTA FUERTE","Cumple filtros de cuota + probabilidad + EV + confianza + muestra","Cumple filtros, pero confianza inferior a FUERTE")))</f>
        <v/>
      </c>
    </row>
    <row r="123">
      <c r="A123" s="2">
        <f>IF(E123="","",ROW()-1)</f>
        <v/>
      </c>
      <c r="B123" s="2" t="inlineStr">
        <is>
          <t>2026-08-19</t>
        </is>
      </c>
      <c r="C123" s="2" t="inlineStr">
        <is>
          <t>10:00</t>
        </is>
      </c>
      <c r="D123" s="2" t="inlineStr">
        <is>
          <t>III Liga - Group 1</t>
        </is>
      </c>
      <c r="E123" s="2" t="inlineStr">
        <is>
          <t>Wisła Płock II vs Łomża</t>
        </is>
      </c>
      <c r="F123" s="2" t="inlineStr">
        <is>
          <t>PENDIENTE</t>
        </is>
      </c>
      <c r="G123" s="2" t="inlineStr">
        <is>
          <t>SELECCIONAR MERCADO</t>
        </is>
      </c>
      <c r="H123" s="6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2" t="n"/>
      <c r="S123" s="7" t="n"/>
      <c r="T123" s="7">
        <f>IFERROR(1/H123,"")</f>
        <v/>
      </c>
      <c r="U123" s="7">
        <f>IF(OR(S123="",T123=""),"",S123-T123)</f>
        <v/>
      </c>
      <c r="V123" s="7">
        <f>IF(OR(S123="",H123=""),"",S123*H123-1)</f>
        <v/>
      </c>
      <c r="W123" s="2">
        <f>IF(E123="","",ROUND(100*(0.22*I123+0.18*J123+0.18*K123+0.10*L123+0.08*M123+0.06*N123+0.06*O123+0.04*P123+0.04*Q123+0.04*MIN(R123/10,1)),0))</f>
        <v/>
      </c>
      <c r="X123" s="2">
        <f>IF(W123="","",IF(W123&gt;=CONFIG!$B$11,"FUERTE",IF(W123&gt;=CONFIG!$B$12,"MEDIA","BAJA")))</f>
        <v/>
      </c>
      <c r="Y123" s="2">
        <f>IF(OR(H123="",S123=""),"",IF(OR(H123&lt;CONFIG!$B$2,H123&gt;CONFIG!$B$3),"NO APTO",IF(S123&lt;IF(H123&lt;1.6,CONFIG!$B$4,IF(H123&lt;1.7,CONFIG!$B$5,IF(H123&lt;1.8,CONFIG!$B$6,IF(H123&lt;2,CONFIG!$B$7,IF(H123&lt;2.2,CONFIG!$B$8,CONFIG!$B$9))))),"NO APTO",IF(V123&lt;CONFIG!$B$10,"NO APTO",IF(AND(W123&gt;=CONFIG!$B$11,R123&gt;=CONFIG!$B$13),"ALERTA FUERTE",IF(AND(W123&gt;=CONFIG!$B$12,R123&gt;=CONFIG!$B$13),"ALERTA MEDIA","NO APTO"))))))</f>
        <v/>
      </c>
      <c r="Z123" s="2">
        <f>IF(Y123="","",IF(Y123="NO APTO","Revisar cuota/probabilidad/EV/puntuación/muestra",IF(Y123="ALERTA FUERTE","Cumple filtros de cuota + probabilidad + EV + confianza + muestra","Cumple filtros, pero confianza inferior a FUERTE")))</f>
        <v/>
      </c>
    </row>
    <row r="124">
      <c r="A124" s="2">
        <f>IF(E124="","",ROW()-1)</f>
        <v/>
      </c>
      <c r="B124" s="2" t="inlineStr">
        <is>
          <t>2026-08-19</t>
        </is>
      </c>
      <c r="C124" s="2" t="inlineStr">
        <is>
          <t>10:00</t>
        </is>
      </c>
      <c r="D124" s="2" t="inlineStr">
        <is>
          <t>III Liga - Group 1</t>
        </is>
      </c>
      <c r="E124" s="2" t="inlineStr">
        <is>
          <t>Troszyn vs Warta Sieradz</t>
        </is>
      </c>
      <c r="F124" s="2" t="inlineStr">
        <is>
          <t>PENDIENTE</t>
        </is>
      </c>
      <c r="G124" s="2" t="inlineStr">
        <is>
          <t>SELECCIONAR MERCADO</t>
        </is>
      </c>
      <c r="H124" s="6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2" t="n"/>
      <c r="S124" s="7" t="n"/>
      <c r="T124" s="7">
        <f>IFERROR(1/H124,"")</f>
        <v/>
      </c>
      <c r="U124" s="7">
        <f>IF(OR(S124="",T124=""),"",S124-T124)</f>
        <v/>
      </c>
      <c r="V124" s="7">
        <f>IF(OR(S124="",H124=""),"",S124*H124-1)</f>
        <v/>
      </c>
      <c r="W124" s="2">
        <f>IF(E124="","",ROUND(100*(0.22*I124+0.18*J124+0.18*K124+0.10*L124+0.08*M124+0.06*N124+0.06*O124+0.04*P124+0.04*Q124+0.04*MIN(R124/10,1)),0))</f>
        <v/>
      </c>
      <c r="X124" s="2">
        <f>IF(W124="","",IF(W124&gt;=CONFIG!$B$11,"FUERTE",IF(W124&gt;=CONFIG!$B$12,"MEDIA","BAJA")))</f>
        <v/>
      </c>
      <c r="Y124" s="2">
        <f>IF(OR(H124="",S124=""),"",IF(OR(H124&lt;CONFIG!$B$2,H124&gt;CONFIG!$B$3),"NO APTO",IF(S124&lt;IF(H124&lt;1.6,CONFIG!$B$4,IF(H124&lt;1.7,CONFIG!$B$5,IF(H124&lt;1.8,CONFIG!$B$6,IF(H124&lt;2,CONFIG!$B$7,IF(H124&lt;2.2,CONFIG!$B$8,CONFIG!$B$9))))),"NO APTO",IF(V124&lt;CONFIG!$B$10,"NO APTO",IF(AND(W124&gt;=CONFIG!$B$11,R124&gt;=CONFIG!$B$13),"ALERTA FUERTE",IF(AND(W124&gt;=CONFIG!$B$12,R124&gt;=CONFIG!$B$13),"ALERTA MEDIA","NO APTO"))))))</f>
        <v/>
      </c>
      <c r="Z124" s="2">
        <f>IF(Y124="","",IF(Y124="NO APTO","Revisar cuota/probabilidad/EV/puntuación/muestra",IF(Y124="ALERTA FUERTE","Cumple filtros de cuota + probabilidad + EV + confianza + muestra","Cumple filtros, pero confianza inferior a FUERTE")))</f>
        <v/>
      </c>
    </row>
    <row r="125">
      <c r="A125" s="2">
        <f>IF(E125="","",ROW()-1)</f>
        <v/>
      </c>
      <c r="B125" s="2" t="inlineStr">
        <is>
          <t>2026-08-19</t>
        </is>
      </c>
      <c r="C125" s="2" t="inlineStr">
        <is>
          <t>10:00</t>
        </is>
      </c>
      <c r="D125" s="2" t="inlineStr">
        <is>
          <t>III Liga - Group 1</t>
        </is>
      </c>
      <c r="E125" s="2" t="inlineStr">
        <is>
          <t>Ząbkovia Ząbki vs Wigry Suwałki</t>
        </is>
      </c>
      <c r="F125" s="2" t="inlineStr">
        <is>
          <t>PENDIENTE</t>
        </is>
      </c>
      <c r="G125" s="2" t="inlineStr">
        <is>
          <t>SELECCIONAR MERCADO</t>
        </is>
      </c>
      <c r="H125" s="6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2" t="n"/>
      <c r="S125" s="7" t="n"/>
      <c r="T125" s="7">
        <f>IFERROR(1/H125,"")</f>
        <v/>
      </c>
      <c r="U125" s="7">
        <f>IF(OR(S125="",T125=""),"",S125-T125)</f>
        <v/>
      </c>
      <c r="V125" s="7">
        <f>IF(OR(S125="",H125=""),"",S125*H125-1)</f>
        <v/>
      </c>
      <c r="W125" s="2">
        <f>IF(E125="","",ROUND(100*(0.22*I125+0.18*J125+0.18*K125+0.10*L125+0.08*M125+0.06*N125+0.06*O125+0.04*P125+0.04*Q125+0.04*MIN(R125/10,1)),0))</f>
        <v/>
      </c>
      <c r="X125" s="2">
        <f>IF(W125="","",IF(W125&gt;=CONFIG!$B$11,"FUERTE",IF(W125&gt;=CONFIG!$B$12,"MEDIA","BAJA")))</f>
        <v/>
      </c>
      <c r="Y125" s="2">
        <f>IF(OR(H125="",S125=""),"",IF(OR(H125&lt;CONFIG!$B$2,H125&gt;CONFIG!$B$3),"NO APTO",IF(S125&lt;IF(H125&lt;1.6,CONFIG!$B$4,IF(H125&lt;1.7,CONFIG!$B$5,IF(H125&lt;1.8,CONFIG!$B$6,IF(H125&lt;2,CONFIG!$B$7,IF(H125&lt;2.2,CONFIG!$B$8,CONFIG!$B$9))))),"NO APTO",IF(V125&lt;CONFIG!$B$10,"NO APTO",IF(AND(W125&gt;=CONFIG!$B$11,R125&gt;=CONFIG!$B$13),"ALERTA FUERTE",IF(AND(W125&gt;=CONFIG!$B$12,R125&gt;=CONFIG!$B$13),"ALERTA MEDIA","NO APTO"))))))</f>
        <v/>
      </c>
      <c r="Z125" s="2">
        <f>IF(Y125="","",IF(Y125="NO APTO","Revisar cuota/probabilidad/EV/puntuación/muestra",IF(Y125="ALERTA FUERTE","Cumple filtros de cuota + probabilidad + EV + confianza + muestra","Cumple filtros, pero confianza inferior a FUERTE")))</f>
        <v/>
      </c>
    </row>
    <row r="126">
      <c r="A126" s="2">
        <f>IF(E126="","",ROW()-1)</f>
        <v/>
      </c>
      <c r="B126" s="2" t="inlineStr">
        <is>
          <t>2026-08-19</t>
        </is>
      </c>
      <c r="C126" s="2" t="inlineStr">
        <is>
          <t>10:00</t>
        </is>
      </c>
      <c r="D126" s="2" t="inlineStr">
        <is>
          <t>First League</t>
        </is>
      </c>
      <c r="E126" s="2" t="inlineStr">
        <is>
          <t>KAMAZ vs Tekstilshchik</t>
        </is>
      </c>
      <c r="F126" s="2" t="inlineStr">
        <is>
          <t>PENDIENTE</t>
        </is>
      </c>
      <c r="G126" s="2" t="inlineStr">
        <is>
          <t>SELECCIONAR MERCADO</t>
        </is>
      </c>
      <c r="H126" s="6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2" t="n"/>
      <c r="S126" s="7" t="n"/>
      <c r="T126" s="7">
        <f>IFERROR(1/H126,"")</f>
        <v/>
      </c>
      <c r="U126" s="7">
        <f>IF(OR(S126="",T126=""),"",S126-T126)</f>
        <v/>
      </c>
      <c r="V126" s="7">
        <f>IF(OR(S126="",H126=""),"",S126*H126-1)</f>
        <v/>
      </c>
      <c r="W126" s="2">
        <f>IF(E126="","",ROUND(100*(0.22*I126+0.18*J126+0.18*K126+0.10*L126+0.08*M126+0.06*N126+0.06*O126+0.04*P126+0.04*Q126+0.04*MIN(R126/10,1)),0))</f>
        <v/>
      </c>
      <c r="X126" s="2">
        <f>IF(W126="","",IF(W126&gt;=CONFIG!$B$11,"FUERTE",IF(W126&gt;=CONFIG!$B$12,"MEDIA","BAJA")))</f>
        <v/>
      </c>
      <c r="Y126" s="2">
        <f>IF(OR(H126="",S126=""),"",IF(OR(H126&lt;CONFIG!$B$2,H126&gt;CONFIG!$B$3),"NO APTO",IF(S126&lt;IF(H126&lt;1.6,CONFIG!$B$4,IF(H126&lt;1.7,CONFIG!$B$5,IF(H126&lt;1.8,CONFIG!$B$6,IF(H126&lt;2,CONFIG!$B$7,IF(H126&lt;2.2,CONFIG!$B$8,CONFIG!$B$9))))),"NO APTO",IF(V126&lt;CONFIG!$B$10,"NO APTO",IF(AND(W126&gt;=CONFIG!$B$11,R126&gt;=CONFIG!$B$13),"ALERTA FUERTE",IF(AND(W126&gt;=CONFIG!$B$12,R126&gt;=CONFIG!$B$13),"ALERTA MEDIA","NO APTO"))))))</f>
        <v/>
      </c>
      <c r="Z126" s="2">
        <f>IF(Y126="","",IF(Y126="NO APTO","Revisar cuota/probabilidad/EV/puntuación/muestra",IF(Y126="ALERTA FUERTE","Cumple filtros de cuota + probabilidad + EV + confianza + muestra","Cumple filtros, pero confianza inferior a FUERTE")))</f>
        <v/>
      </c>
    </row>
    <row r="127">
      <c r="A127" s="2">
        <f>IF(E127="","",ROW()-1)</f>
        <v/>
      </c>
      <c r="B127" s="2" t="inlineStr">
        <is>
          <t>2026-08-19</t>
        </is>
      </c>
      <c r="C127" s="2" t="inlineStr">
        <is>
          <t>10:00</t>
        </is>
      </c>
      <c r="D127" s="2" t="inlineStr">
        <is>
          <t>U19 Bundesliga</t>
        </is>
      </c>
      <c r="E127" s="2" t="inlineStr">
        <is>
          <t>Saarbrücken U19 vs Viktoria Köln U19</t>
        </is>
      </c>
      <c r="F127" s="2" t="inlineStr">
        <is>
          <t>PENDIENTE</t>
        </is>
      </c>
      <c r="G127" s="2" t="inlineStr">
        <is>
          <t>SELECCIONAR MERCADO</t>
        </is>
      </c>
      <c r="H127" s="6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2" t="n"/>
      <c r="S127" s="7" t="n"/>
      <c r="T127" s="7">
        <f>IFERROR(1/H127,"")</f>
        <v/>
      </c>
      <c r="U127" s="7">
        <f>IF(OR(S127="",T127=""),"",S127-T127)</f>
        <v/>
      </c>
      <c r="V127" s="7">
        <f>IF(OR(S127="",H127=""),"",S127*H127-1)</f>
        <v/>
      </c>
      <c r="W127" s="2">
        <f>IF(E127="","",ROUND(100*(0.22*I127+0.18*J127+0.18*K127+0.10*L127+0.08*M127+0.06*N127+0.06*O127+0.04*P127+0.04*Q127+0.04*MIN(R127/10,1)),0))</f>
        <v/>
      </c>
      <c r="X127" s="2">
        <f>IF(W127="","",IF(W127&gt;=CONFIG!$B$11,"FUERTE",IF(W127&gt;=CONFIG!$B$12,"MEDIA","BAJA")))</f>
        <v/>
      </c>
      <c r="Y127" s="2">
        <f>IF(OR(H127="",S127=""),"",IF(OR(H127&lt;CONFIG!$B$2,H127&gt;CONFIG!$B$3),"NO APTO",IF(S127&lt;IF(H127&lt;1.6,CONFIG!$B$4,IF(H127&lt;1.7,CONFIG!$B$5,IF(H127&lt;1.8,CONFIG!$B$6,IF(H127&lt;2,CONFIG!$B$7,IF(H127&lt;2.2,CONFIG!$B$8,CONFIG!$B$9))))),"NO APTO",IF(V127&lt;CONFIG!$B$10,"NO APTO",IF(AND(W127&gt;=CONFIG!$B$11,R127&gt;=CONFIG!$B$13),"ALERTA FUERTE",IF(AND(W127&gt;=CONFIG!$B$12,R127&gt;=CONFIG!$B$13),"ALERTA MEDIA","NO APTO"))))))</f>
        <v/>
      </c>
      <c r="Z127" s="2">
        <f>IF(Y127="","",IF(Y127="NO APTO","Revisar cuota/probabilidad/EV/puntuación/muestra",IF(Y127="ALERTA FUERTE","Cumple filtros de cuota + probabilidad + EV + confianza + muestra","Cumple filtros, pero confianza inferior a FUERTE")))</f>
        <v/>
      </c>
    </row>
    <row r="128">
      <c r="A128" s="2">
        <f>IF(E128="","",ROW()-1)</f>
        <v/>
      </c>
      <c r="B128" s="2" t="inlineStr">
        <is>
          <t>2026-08-19</t>
        </is>
      </c>
      <c r="C128" s="2" t="inlineStr">
        <is>
          <t>10:00</t>
        </is>
      </c>
      <c r="D128" s="2" t="inlineStr">
        <is>
          <t>First League</t>
        </is>
      </c>
      <c r="E128" s="2" t="inlineStr">
        <is>
          <t>Banants II vs BKMA II</t>
        </is>
      </c>
      <c r="F128" s="2" t="inlineStr">
        <is>
          <t>PENDIENTE</t>
        </is>
      </c>
      <c r="G128" s="2" t="inlineStr">
        <is>
          <t>SELECCIONAR MERCADO</t>
        </is>
      </c>
      <c r="H128" s="6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2" t="n"/>
      <c r="S128" s="7" t="n"/>
      <c r="T128" s="7">
        <f>IFERROR(1/H128,"")</f>
        <v/>
      </c>
      <c r="U128" s="7">
        <f>IF(OR(S128="",T128=""),"",S128-T128)</f>
        <v/>
      </c>
      <c r="V128" s="7">
        <f>IF(OR(S128="",H128=""),"",S128*H128-1)</f>
        <v/>
      </c>
      <c r="W128" s="2">
        <f>IF(E128="","",ROUND(100*(0.22*I128+0.18*J128+0.18*K128+0.10*L128+0.08*M128+0.06*N128+0.06*O128+0.04*P128+0.04*Q128+0.04*MIN(R128/10,1)),0))</f>
        <v/>
      </c>
      <c r="X128" s="2">
        <f>IF(W128="","",IF(W128&gt;=CONFIG!$B$11,"FUERTE",IF(W128&gt;=CONFIG!$B$12,"MEDIA","BAJA")))</f>
        <v/>
      </c>
      <c r="Y128" s="2">
        <f>IF(OR(H128="",S128=""),"",IF(OR(H128&lt;CONFIG!$B$2,H128&gt;CONFIG!$B$3),"NO APTO",IF(S128&lt;IF(H128&lt;1.6,CONFIG!$B$4,IF(H128&lt;1.7,CONFIG!$B$5,IF(H128&lt;1.8,CONFIG!$B$6,IF(H128&lt;2,CONFIG!$B$7,IF(H128&lt;2.2,CONFIG!$B$8,CONFIG!$B$9))))),"NO APTO",IF(V128&lt;CONFIG!$B$10,"NO APTO",IF(AND(W128&gt;=CONFIG!$B$11,R128&gt;=CONFIG!$B$13),"ALERTA FUERTE",IF(AND(W128&gt;=CONFIG!$B$12,R128&gt;=CONFIG!$B$13),"ALERTA MEDIA","NO APTO"))))))</f>
        <v/>
      </c>
      <c r="Z128" s="2">
        <f>IF(Y128="","",IF(Y128="NO APTO","Revisar cuota/probabilidad/EV/puntuación/muestra",IF(Y128="ALERTA FUERTE","Cumple filtros de cuota + probabilidad + EV + confianza + muestra","Cumple filtros, pero confianza inferior a FUERTE")))</f>
        <v/>
      </c>
    </row>
    <row r="129">
      <c r="A129" s="2">
        <f>IF(E129="","",ROW()-1)</f>
        <v/>
      </c>
      <c r="B129" s="2" t="inlineStr">
        <is>
          <t>2026-08-19</t>
        </is>
      </c>
      <c r="C129" s="2" t="inlineStr">
        <is>
          <t>10:00</t>
        </is>
      </c>
      <c r="D129" s="2" t="inlineStr">
        <is>
          <t>Cup</t>
        </is>
      </c>
      <c r="E129" s="2" t="inlineStr">
        <is>
          <t>Jednota Bánová vs AS Trencin</t>
        </is>
      </c>
      <c r="F129" s="2" t="inlineStr">
        <is>
          <t>PENDIENTE</t>
        </is>
      </c>
      <c r="G129" s="2" t="inlineStr">
        <is>
          <t>SELECCIONAR MERCADO</t>
        </is>
      </c>
      <c r="H129" s="6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2" t="n"/>
      <c r="S129" s="7" t="n"/>
      <c r="T129" s="7">
        <f>IFERROR(1/H129,"")</f>
        <v/>
      </c>
      <c r="U129" s="7">
        <f>IF(OR(S129="",T129=""),"",S129-T129)</f>
        <v/>
      </c>
      <c r="V129" s="7">
        <f>IF(OR(S129="",H129=""),"",S129*H129-1)</f>
        <v/>
      </c>
      <c r="W129" s="2">
        <f>IF(E129="","",ROUND(100*(0.22*I129+0.18*J129+0.18*K129+0.10*L129+0.08*M129+0.06*N129+0.06*O129+0.04*P129+0.04*Q129+0.04*MIN(R129/10,1)),0))</f>
        <v/>
      </c>
      <c r="X129" s="2">
        <f>IF(W129="","",IF(W129&gt;=CONFIG!$B$11,"FUERTE",IF(W129&gt;=CONFIG!$B$12,"MEDIA","BAJA")))</f>
        <v/>
      </c>
      <c r="Y129" s="2">
        <f>IF(OR(H129="",S129=""),"",IF(OR(H129&lt;CONFIG!$B$2,H129&gt;CONFIG!$B$3),"NO APTO",IF(S129&lt;IF(H129&lt;1.6,CONFIG!$B$4,IF(H129&lt;1.7,CONFIG!$B$5,IF(H129&lt;1.8,CONFIG!$B$6,IF(H129&lt;2,CONFIG!$B$7,IF(H129&lt;2.2,CONFIG!$B$8,CONFIG!$B$9))))),"NO APTO",IF(V129&lt;CONFIG!$B$10,"NO APTO",IF(AND(W129&gt;=CONFIG!$B$11,R129&gt;=CONFIG!$B$13),"ALERTA FUERTE",IF(AND(W129&gt;=CONFIG!$B$12,R129&gt;=CONFIG!$B$13),"ALERTA MEDIA","NO APTO"))))))</f>
        <v/>
      </c>
      <c r="Z129" s="2">
        <f>IF(Y129="","",IF(Y129="NO APTO","Revisar cuota/probabilidad/EV/puntuación/muestra",IF(Y129="ALERTA FUERTE","Cumple filtros de cuota + probabilidad + EV + confianza + muestra","Cumple filtros, pero confianza inferior a FUERTE")))</f>
        <v/>
      </c>
    </row>
    <row r="130">
      <c r="A130" s="2">
        <f>IF(E130="","",ROW()-1)</f>
        <v/>
      </c>
      <c r="B130" s="2" t="inlineStr">
        <is>
          <t>2026-08-19</t>
        </is>
      </c>
      <c r="C130" s="2" t="inlineStr">
        <is>
          <t>10:00</t>
        </is>
      </c>
      <c r="D130" s="2" t="inlineStr">
        <is>
          <t>Cup</t>
        </is>
      </c>
      <c r="E130" s="2" t="inlineStr">
        <is>
          <t>Lovca vs Dukla Banská Bystrica</t>
        </is>
      </c>
      <c r="F130" s="2" t="inlineStr">
        <is>
          <t>PENDIENTE</t>
        </is>
      </c>
      <c r="G130" s="2" t="inlineStr">
        <is>
          <t>SELECCIONAR MERCADO</t>
        </is>
      </c>
      <c r="H130" s="6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2" t="n"/>
      <c r="S130" s="7" t="n"/>
      <c r="T130" s="7">
        <f>IFERROR(1/H130,"")</f>
        <v/>
      </c>
      <c r="U130" s="7">
        <f>IF(OR(S130="",T130=""),"",S130-T130)</f>
        <v/>
      </c>
      <c r="V130" s="7">
        <f>IF(OR(S130="",H130=""),"",S130*H130-1)</f>
        <v/>
      </c>
      <c r="W130" s="2">
        <f>IF(E130="","",ROUND(100*(0.22*I130+0.18*J130+0.18*K130+0.10*L130+0.08*M130+0.06*N130+0.06*O130+0.04*P130+0.04*Q130+0.04*MIN(R130/10,1)),0))</f>
        <v/>
      </c>
      <c r="X130" s="2">
        <f>IF(W130="","",IF(W130&gt;=CONFIG!$B$11,"FUERTE",IF(W130&gt;=CONFIG!$B$12,"MEDIA","BAJA")))</f>
        <v/>
      </c>
      <c r="Y130" s="2">
        <f>IF(OR(H130="",S130=""),"",IF(OR(H130&lt;CONFIG!$B$2,H130&gt;CONFIG!$B$3),"NO APTO",IF(S130&lt;IF(H130&lt;1.6,CONFIG!$B$4,IF(H130&lt;1.7,CONFIG!$B$5,IF(H130&lt;1.8,CONFIG!$B$6,IF(H130&lt;2,CONFIG!$B$7,IF(H130&lt;2.2,CONFIG!$B$8,CONFIG!$B$9))))),"NO APTO",IF(V130&lt;CONFIG!$B$10,"NO APTO",IF(AND(W130&gt;=CONFIG!$B$11,R130&gt;=CONFIG!$B$13),"ALERTA FUERTE",IF(AND(W130&gt;=CONFIG!$B$12,R130&gt;=CONFIG!$B$13),"ALERTA MEDIA","NO APTO"))))))</f>
        <v/>
      </c>
      <c r="Z130" s="2">
        <f>IF(Y130="","",IF(Y130="NO APTO","Revisar cuota/probabilidad/EV/puntuación/muestra",IF(Y130="ALERTA FUERTE","Cumple filtros de cuota + probabilidad + EV + confianza + muestra","Cumple filtros, pero confianza inferior a FUERTE")))</f>
        <v/>
      </c>
    </row>
    <row r="131">
      <c r="A131" s="2">
        <f>IF(E131="","",ROW()-1)</f>
        <v/>
      </c>
      <c r="B131" s="2" t="inlineStr">
        <is>
          <t>2026-08-19</t>
        </is>
      </c>
      <c r="C131" s="2" t="inlineStr">
        <is>
          <t>10:00</t>
        </is>
      </c>
      <c r="D131" s="2" t="inlineStr">
        <is>
          <t>Cup</t>
        </is>
      </c>
      <c r="E131" s="2" t="inlineStr">
        <is>
          <t>Jakubov vs Inter Bratislava</t>
        </is>
      </c>
      <c r="F131" s="2" t="inlineStr">
        <is>
          <t>PENDIENTE</t>
        </is>
      </c>
      <c r="G131" s="2" t="inlineStr">
        <is>
          <t>SELECCIONAR MERCADO</t>
        </is>
      </c>
      <c r="H131" s="6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2" t="n"/>
      <c r="S131" s="7" t="n"/>
      <c r="T131" s="7">
        <f>IFERROR(1/H131,"")</f>
        <v/>
      </c>
      <c r="U131" s="7">
        <f>IF(OR(S131="",T131=""),"",S131-T131)</f>
        <v/>
      </c>
      <c r="V131" s="7">
        <f>IF(OR(S131="",H131=""),"",S131*H131-1)</f>
        <v/>
      </c>
      <c r="W131" s="2">
        <f>IF(E131="","",ROUND(100*(0.22*I131+0.18*J131+0.18*K131+0.10*L131+0.08*M131+0.06*N131+0.06*O131+0.04*P131+0.04*Q131+0.04*MIN(R131/10,1)),0))</f>
        <v/>
      </c>
      <c r="X131" s="2">
        <f>IF(W131="","",IF(W131&gt;=CONFIG!$B$11,"FUERTE",IF(W131&gt;=CONFIG!$B$12,"MEDIA","BAJA")))</f>
        <v/>
      </c>
      <c r="Y131" s="2">
        <f>IF(OR(H131="",S131=""),"",IF(OR(H131&lt;CONFIG!$B$2,H131&gt;CONFIG!$B$3),"NO APTO",IF(S131&lt;IF(H131&lt;1.6,CONFIG!$B$4,IF(H131&lt;1.7,CONFIG!$B$5,IF(H131&lt;1.8,CONFIG!$B$6,IF(H131&lt;2,CONFIG!$B$7,IF(H131&lt;2.2,CONFIG!$B$8,CONFIG!$B$9))))),"NO APTO",IF(V131&lt;CONFIG!$B$10,"NO APTO",IF(AND(W131&gt;=CONFIG!$B$11,R131&gt;=CONFIG!$B$13),"ALERTA FUERTE",IF(AND(W131&gt;=CONFIG!$B$12,R131&gt;=CONFIG!$B$13),"ALERTA MEDIA","NO APTO"))))))</f>
        <v/>
      </c>
      <c r="Z131" s="2">
        <f>IF(Y131="","",IF(Y131="NO APTO","Revisar cuota/probabilidad/EV/puntuación/muestra",IF(Y131="ALERTA FUERTE","Cumple filtros de cuota + probabilidad + EV + confianza + muestra","Cumple filtros, pero confianza inferior a FUERTE")))</f>
        <v/>
      </c>
    </row>
    <row r="132">
      <c r="A132" s="2">
        <f>IF(E132="","",ROW()-1)</f>
        <v/>
      </c>
      <c r="B132" s="2" t="inlineStr">
        <is>
          <t>2026-08-19</t>
        </is>
      </c>
      <c r="C132" s="2" t="inlineStr">
        <is>
          <t>10:00</t>
        </is>
      </c>
      <c r="D132" s="2" t="inlineStr">
        <is>
          <t>Cup</t>
        </is>
      </c>
      <c r="E132" s="2" t="inlineStr">
        <is>
          <t>Nové Mesto nad Váhom vs Skalica</t>
        </is>
      </c>
      <c r="F132" s="2" t="inlineStr">
        <is>
          <t>PENDIENTE</t>
        </is>
      </c>
      <c r="G132" s="2" t="inlineStr">
        <is>
          <t>SELECCIONAR MERCADO</t>
        </is>
      </c>
      <c r="H132" s="6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2" t="n"/>
      <c r="S132" s="7" t="n"/>
      <c r="T132" s="7">
        <f>IFERROR(1/H132,"")</f>
        <v/>
      </c>
      <c r="U132" s="7">
        <f>IF(OR(S132="",T132=""),"",S132-T132)</f>
        <v/>
      </c>
      <c r="V132" s="7">
        <f>IF(OR(S132="",H132=""),"",S132*H132-1)</f>
        <v/>
      </c>
      <c r="W132" s="2">
        <f>IF(E132="","",ROUND(100*(0.22*I132+0.18*J132+0.18*K132+0.10*L132+0.08*M132+0.06*N132+0.06*O132+0.04*P132+0.04*Q132+0.04*MIN(R132/10,1)),0))</f>
        <v/>
      </c>
      <c r="X132" s="2">
        <f>IF(W132="","",IF(W132&gt;=CONFIG!$B$11,"FUERTE",IF(W132&gt;=CONFIG!$B$12,"MEDIA","BAJA")))</f>
        <v/>
      </c>
      <c r="Y132" s="2">
        <f>IF(OR(H132="",S132=""),"",IF(OR(H132&lt;CONFIG!$B$2,H132&gt;CONFIG!$B$3),"NO APTO",IF(S132&lt;IF(H132&lt;1.6,CONFIG!$B$4,IF(H132&lt;1.7,CONFIG!$B$5,IF(H132&lt;1.8,CONFIG!$B$6,IF(H132&lt;2,CONFIG!$B$7,IF(H132&lt;2.2,CONFIG!$B$8,CONFIG!$B$9))))),"NO APTO",IF(V132&lt;CONFIG!$B$10,"NO APTO",IF(AND(W132&gt;=CONFIG!$B$11,R132&gt;=CONFIG!$B$13),"ALERTA FUERTE",IF(AND(W132&gt;=CONFIG!$B$12,R132&gt;=CONFIG!$B$13),"ALERTA MEDIA","NO APTO"))))))</f>
        <v/>
      </c>
      <c r="Z132" s="2">
        <f>IF(Y132="","",IF(Y132="NO APTO","Revisar cuota/probabilidad/EV/puntuación/muestra",IF(Y132="ALERTA FUERTE","Cumple filtros de cuota + probabilidad + EV + confianza + muestra","Cumple filtros, pero confianza inferior a FUERTE")))</f>
        <v/>
      </c>
    </row>
    <row r="133">
      <c r="A133" s="2">
        <f>IF(E133="","",ROW()-1)</f>
        <v/>
      </c>
      <c r="B133" s="2" t="inlineStr">
        <is>
          <t>2026-08-19</t>
        </is>
      </c>
      <c r="C133" s="2" t="inlineStr">
        <is>
          <t>10:00</t>
        </is>
      </c>
      <c r="D133" s="2" t="inlineStr">
        <is>
          <t>Cup</t>
        </is>
      </c>
      <c r="E133" s="2" t="inlineStr">
        <is>
          <t>Bernolákovo vs Rača</t>
        </is>
      </c>
      <c r="F133" s="2" t="inlineStr">
        <is>
          <t>PENDIENTE</t>
        </is>
      </c>
      <c r="G133" s="2" t="inlineStr">
        <is>
          <t>SELECCIONAR MERCADO</t>
        </is>
      </c>
      <c r="H133" s="6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2" t="n"/>
      <c r="S133" s="7" t="n"/>
      <c r="T133" s="7">
        <f>IFERROR(1/H133,"")</f>
        <v/>
      </c>
      <c r="U133" s="7">
        <f>IF(OR(S133="",T133=""),"",S133-T133)</f>
        <v/>
      </c>
      <c r="V133" s="7">
        <f>IF(OR(S133="",H133=""),"",S133*H133-1)</f>
        <v/>
      </c>
      <c r="W133" s="2">
        <f>IF(E133="","",ROUND(100*(0.22*I133+0.18*J133+0.18*K133+0.10*L133+0.08*M133+0.06*N133+0.06*O133+0.04*P133+0.04*Q133+0.04*MIN(R133/10,1)),0))</f>
        <v/>
      </c>
      <c r="X133" s="2">
        <f>IF(W133="","",IF(W133&gt;=CONFIG!$B$11,"FUERTE",IF(W133&gt;=CONFIG!$B$12,"MEDIA","BAJA")))</f>
        <v/>
      </c>
      <c r="Y133" s="2">
        <f>IF(OR(H133="",S133=""),"",IF(OR(H133&lt;CONFIG!$B$2,H133&gt;CONFIG!$B$3),"NO APTO",IF(S133&lt;IF(H133&lt;1.6,CONFIG!$B$4,IF(H133&lt;1.7,CONFIG!$B$5,IF(H133&lt;1.8,CONFIG!$B$6,IF(H133&lt;2,CONFIG!$B$7,IF(H133&lt;2.2,CONFIG!$B$8,CONFIG!$B$9))))),"NO APTO",IF(V133&lt;CONFIG!$B$10,"NO APTO",IF(AND(W133&gt;=CONFIG!$B$11,R133&gt;=CONFIG!$B$13),"ALERTA FUERTE",IF(AND(W133&gt;=CONFIG!$B$12,R133&gt;=CONFIG!$B$13),"ALERTA MEDIA","NO APTO"))))))</f>
        <v/>
      </c>
      <c r="Z133" s="2">
        <f>IF(Y133="","",IF(Y133="NO APTO","Revisar cuota/probabilidad/EV/puntuación/muestra",IF(Y133="ALERTA FUERTE","Cumple filtros de cuota + probabilidad + EV + confianza + muestra","Cumple filtros, pero confianza inferior a FUERTE")))</f>
        <v/>
      </c>
    </row>
    <row r="134">
      <c r="A134" s="2">
        <f>IF(E134="","",ROW()-1)</f>
        <v/>
      </c>
      <c r="B134" s="2" t="inlineStr">
        <is>
          <t>2026-08-19</t>
        </is>
      </c>
      <c r="C134" s="2" t="inlineStr">
        <is>
          <t>10:00</t>
        </is>
      </c>
      <c r="D134" s="2" t="inlineStr">
        <is>
          <t>Cup</t>
        </is>
      </c>
      <c r="E134" s="2" t="inlineStr">
        <is>
          <t>Sokol Borský Mikuláš vs Beluša</t>
        </is>
      </c>
      <c r="F134" s="2" t="inlineStr">
        <is>
          <t>PENDIENTE</t>
        </is>
      </c>
      <c r="G134" s="2" t="inlineStr">
        <is>
          <t>SELECCIONAR MERCADO</t>
        </is>
      </c>
      <c r="H134" s="6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2" t="n"/>
      <c r="S134" s="7" t="n"/>
      <c r="T134" s="7">
        <f>IFERROR(1/H134,"")</f>
        <v/>
      </c>
      <c r="U134" s="7">
        <f>IF(OR(S134="",T134=""),"",S134-T134)</f>
        <v/>
      </c>
      <c r="V134" s="7">
        <f>IF(OR(S134="",H134=""),"",S134*H134-1)</f>
        <v/>
      </c>
      <c r="W134" s="2">
        <f>IF(E134="","",ROUND(100*(0.22*I134+0.18*J134+0.18*K134+0.10*L134+0.08*M134+0.06*N134+0.06*O134+0.04*P134+0.04*Q134+0.04*MIN(R134/10,1)),0))</f>
        <v/>
      </c>
      <c r="X134" s="2">
        <f>IF(W134="","",IF(W134&gt;=CONFIG!$B$11,"FUERTE",IF(W134&gt;=CONFIG!$B$12,"MEDIA","BAJA")))</f>
        <v/>
      </c>
      <c r="Y134" s="2">
        <f>IF(OR(H134="",S134=""),"",IF(OR(H134&lt;CONFIG!$B$2,H134&gt;CONFIG!$B$3),"NO APTO",IF(S134&lt;IF(H134&lt;1.6,CONFIG!$B$4,IF(H134&lt;1.7,CONFIG!$B$5,IF(H134&lt;1.8,CONFIG!$B$6,IF(H134&lt;2,CONFIG!$B$7,IF(H134&lt;2.2,CONFIG!$B$8,CONFIG!$B$9))))),"NO APTO",IF(V134&lt;CONFIG!$B$10,"NO APTO",IF(AND(W134&gt;=CONFIG!$B$11,R134&gt;=CONFIG!$B$13),"ALERTA FUERTE",IF(AND(W134&gt;=CONFIG!$B$12,R134&gt;=CONFIG!$B$13),"ALERTA MEDIA","NO APTO"))))))</f>
        <v/>
      </c>
      <c r="Z134" s="2">
        <f>IF(Y134="","",IF(Y134="NO APTO","Revisar cuota/probabilidad/EV/puntuación/muestra",IF(Y134="ALERTA FUERTE","Cumple filtros de cuota + probabilidad + EV + confianza + muestra","Cumple filtros, pero confianza inferior a FUERTE")))</f>
        <v/>
      </c>
    </row>
    <row r="135">
      <c r="A135" s="2">
        <f>IF(E135="","",ROW()-1)</f>
        <v/>
      </c>
      <c r="B135" s="2" t="inlineStr">
        <is>
          <t>2026-08-19</t>
        </is>
      </c>
      <c r="C135" s="2" t="inlineStr">
        <is>
          <t>10:00</t>
        </is>
      </c>
      <c r="D135" s="2" t="inlineStr">
        <is>
          <t>Cup</t>
        </is>
      </c>
      <c r="E135" s="2" t="inlineStr">
        <is>
          <t>Brezno vs Baník Kalinovo</t>
        </is>
      </c>
      <c r="F135" s="2" t="inlineStr">
        <is>
          <t>PENDIENTE</t>
        </is>
      </c>
      <c r="G135" s="2" t="inlineStr">
        <is>
          <t>SELECCIONAR MERCADO</t>
        </is>
      </c>
      <c r="H135" s="6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2" t="n"/>
      <c r="S135" s="7" t="n"/>
      <c r="T135" s="7">
        <f>IFERROR(1/H135,"")</f>
        <v/>
      </c>
      <c r="U135" s="7">
        <f>IF(OR(S135="",T135=""),"",S135-T135)</f>
        <v/>
      </c>
      <c r="V135" s="7">
        <f>IF(OR(S135="",H135=""),"",S135*H135-1)</f>
        <v/>
      </c>
      <c r="W135" s="2">
        <f>IF(E135="","",ROUND(100*(0.22*I135+0.18*J135+0.18*K135+0.10*L135+0.08*M135+0.06*N135+0.06*O135+0.04*P135+0.04*Q135+0.04*MIN(R135/10,1)),0))</f>
        <v/>
      </c>
      <c r="X135" s="2">
        <f>IF(W135="","",IF(W135&gt;=CONFIG!$B$11,"FUERTE",IF(W135&gt;=CONFIG!$B$12,"MEDIA","BAJA")))</f>
        <v/>
      </c>
      <c r="Y135" s="2">
        <f>IF(OR(H135="",S135=""),"",IF(OR(H135&lt;CONFIG!$B$2,H135&gt;CONFIG!$B$3),"NO APTO",IF(S135&lt;IF(H135&lt;1.6,CONFIG!$B$4,IF(H135&lt;1.7,CONFIG!$B$5,IF(H135&lt;1.8,CONFIG!$B$6,IF(H135&lt;2,CONFIG!$B$7,IF(H135&lt;2.2,CONFIG!$B$8,CONFIG!$B$9))))),"NO APTO",IF(V135&lt;CONFIG!$B$10,"NO APTO",IF(AND(W135&gt;=CONFIG!$B$11,R135&gt;=CONFIG!$B$13),"ALERTA FUERTE",IF(AND(W135&gt;=CONFIG!$B$12,R135&gt;=CONFIG!$B$13),"ALERTA MEDIA","NO APTO"))))))</f>
        <v/>
      </c>
      <c r="Z135" s="2">
        <f>IF(Y135="","",IF(Y135="NO APTO","Revisar cuota/probabilidad/EV/puntuación/muestra",IF(Y135="ALERTA FUERTE","Cumple filtros de cuota + probabilidad + EV + confianza + muestra","Cumple filtros, pero confianza inferior a FUERTE")))</f>
        <v/>
      </c>
    </row>
    <row r="136">
      <c r="A136" s="2">
        <f>IF(E136="","",ROW()-1)</f>
        <v/>
      </c>
      <c r="B136" s="2" t="inlineStr">
        <is>
          <t>2026-08-19</t>
        </is>
      </c>
      <c r="C136" s="2" t="inlineStr">
        <is>
          <t>10:00</t>
        </is>
      </c>
      <c r="D136" s="2" t="inlineStr">
        <is>
          <t>Cup</t>
        </is>
      </c>
      <c r="E136" s="2" t="inlineStr">
        <is>
          <t>Cicarovce vs MSK Tesla Stropkov</t>
        </is>
      </c>
      <c r="F136" s="2" t="inlineStr">
        <is>
          <t>PENDIENTE</t>
        </is>
      </c>
      <c r="G136" s="2" t="inlineStr">
        <is>
          <t>SELECCIONAR MERCADO</t>
        </is>
      </c>
      <c r="H136" s="6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2" t="n"/>
      <c r="S136" s="7" t="n"/>
      <c r="T136" s="7">
        <f>IFERROR(1/H136,"")</f>
        <v/>
      </c>
      <c r="U136" s="7">
        <f>IF(OR(S136="",T136=""),"",S136-T136)</f>
        <v/>
      </c>
      <c r="V136" s="7">
        <f>IF(OR(S136="",H136=""),"",S136*H136-1)</f>
        <v/>
      </c>
      <c r="W136" s="2">
        <f>IF(E136="","",ROUND(100*(0.22*I136+0.18*J136+0.18*K136+0.10*L136+0.08*M136+0.06*N136+0.06*O136+0.04*P136+0.04*Q136+0.04*MIN(R136/10,1)),0))</f>
        <v/>
      </c>
      <c r="X136" s="2">
        <f>IF(W136="","",IF(W136&gt;=CONFIG!$B$11,"FUERTE",IF(W136&gt;=CONFIG!$B$12,"MEDIA","BAJA")))</f>
        <v/>
      </c>
      <c r="Y136" s="2">
        <f>IF(OR(H136="",S136=""),"",IF(OR(H136&lt;CONFIG!$B$2,H136&gt;CONFIG!$B$3),"NO APTO",IF(S136&lt;IF(H136&lt;1.6,CONFIG!$B$4,IF(H136&lt;1.7,CONFIG!$B$5,IF(H136&lt;1.8,CONFIG!$B$6,IF(H136&lt;2,CONFIG!$B$7,IF(H136&lt;2.2,CONFIG!$B$8,CONFIG!$B$9))))),"NO APTO",IF(V136&lt;CONFIG!$B$10,"NO APTO",IF(AND(W136&gt;=CONFIG!$B$11,R136&gt;=CONFIG!$B$13),"ALERTA FUERTE",IF(AND(W136&gt;=CONFIG!$B$12,R136&gt;=CONFIG!$B$13),"ALERTA MEDIA","NO APTO"))))))</f>
        <v/>
      </c>
      <c r="Z136" s="2">
        <f>IF(Y136="","",IF(Y136="NO APTO","Revisar cuota/probabilidad/EV/puntuación/muestra",IF(Y136="ALERTA FUERTE","Cumple filtros de cuota + probabilidad + EV + confianza + muestra","Cumple filtros, pero confianza inferior a FUERTE")))</f>
        <v/>
      </c>
    </row>
    <row r="137">
      <c r="A137" s="2">
        <f>IF(E137="","",ROW()-1)</f>
        <v/>
      </c>
      <c r="B137" s="2" t="inlineStr">
        <is>
          <t>2026-08-19</t>
        </is>
      </c>
      <c r="C137" s="2" t="inlineStr">
        <is>
          <t>10:00</t>
        </is>
      </c>
      <c r="D137" s="2" t="inlineStr">
        <is>
          <t>Cup</t>
        </is>
      </c>
      <c r="E137" s="2" t="inlineStr">
        <is>
          <t>Družstevník Čirč vs Tatran Prešov</t>
        </is>
      </c>
      <c r="F137" s="2" t="inlineStr">
        <is>
          <t>PENDIENTE</t>
        </is>
      </c>
      <c r="G137" s="2" t="inlineStr">
        <is>
          <t>SELECCIONAR MERCADO</t>
        </is>
      </c>
      <c r="H137" s="6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2" t="n"/>
      <c r="S137" s="7" t="n"/>
      <c r="T137" s="7">
        <f>IFERROR(1/H137,"")</f>
        <v/>
      </c>
      <c r="U137" s="7">
        <f>IF(OR(S137="",T137=""),"",S137-T137)</f>
        <v/>
      </c>
      <c r="V137" s="7">
        <f>IF(OR(S137="",H137=""),"",S137*H137-1)</f>
        <v/>
      </c>
      <c r="W137" s="2">
        <f>IF(E137="","",ROUND(100*(0.22*I137+0.18*J137+0.18*K137+0.10*L137+0.08*M137+0.06*N137+0.06*O137+0.04*P137+0.04*Q137+0.04*MIN(R137/10,1)),0))</f>
        <v/>
      </c>
      <c r="X137" s="2">
        <f>IF(W137="","",IF(W137&gt;=CONFIG!$B$11,"FUERTE",IF(W137&gt;=CONFIG!$B$12,"MEDIA","BAJA")))</f>
        <v/>
      </c>
      <c r="Y137" s="2">
        <f>IF(OR(H137="",S137=""),"",IF(OR(H137&lt;CONFIG!$B$2,H137&gt;CONFIG!$B$3),"NO APTO",IF(S137&lt;IF(H137&lt;1.6,CONFIG!$B$4,IF(H137&lt;1.7,CONFIG!$B$5,IF(H137&lt;1.8,CONFIG!$B$6,IF(H137&lt;2,CONFIG!$B$7,IF(H137&lt;2.2,CONFIG!$B$8,CONFIG!$B$9))))),"NO APTO",IF(V137&lt;CONFIG!$B$10,"NO APTO",IF(AND(W137&gt;=CONFIG!$B$11,R137&gt;=CONFIG!$B$13),"ALERTA FUERTE",IF(AND(W137&gt;=CONFIG!$B$12,R137&gt;=CONFIG!$B$13),"ALERTA MEDIA","NO APTO"))))))</f>
        <v/>
      </c>
      <c r="Z137" s="2">
        <f>IF(Y137="","",IF(Y137="NO APTO","Revisar cuota/probabilidad/EV/puntuación/muestra",IF(Y137="ALERTA FUERTE","Cumple filtros de cuota + probabilidad + EV + confianza + muestra","Cumple filtros, pero confianza inferior a FUERTE")))</f>
        <v/>
      </c>
    </row>
    <row r="138">
      <c r="A138" s="2">
        <f>IF(E138="","",ROW()-1)</f>
        <v/>
      </c>
      <c r="B138" s="2" t="inlineStr">
        <is>
          <t>2026-08-19</t>
        </is>
      </c>
      <c r="C138" s="2" t="inlineStr">
        <is>
          <t>10:00</t>
        </is>
      </c>
      <c r="D138" s="2" t="inlineStr">
        <is>
          <t>Cup</t>
        </is>
      </c>
      <c r="E138" s="2" t="inlineStr">
        <is>
          <t>Dynamo Diviaky vs Nová Baňa</t>
        </is>
      </c>
      <c r="F138" s="2" t="inlineStr">
        <is>
          <t>PENDIENTE</t>
        </is>
      </c>
      <c r="G138" s="2" t="inlineStr">
        <is>
          <t>SELECCIONAR MERCADO</t>
        </is>
      </c>
      <c r="H138" s="6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2" t="n"/>
      <c r="S138" s="7" t="n"/>
      <c r="T138" s="7">
        <f>IFERROR(1/H138,"")</f>
        <v/>
      </c>
      <c r="U138" s="7">
        <f>IF(OR(S138="",T138=""),"",S138-T138)</f>
        <v/>
      </c>
      <c r="V138" s="7">
        <f>IF(OR(S138="",H138=""),"",S138*H138-1)</f>
        <v/>
      </c>
      <c r="W138" s="2">
        <f>IF(E138="","",ROUND(100*(0.22*I138+0.18*J138+0.18*K138+0.10*L138+0.08*M138+0.06*N138+0.06*O138+0.04*P138+0.04*Q138+0.04*MIN(R138/10,1)),0))</f>
        <v/>
      </c>
      <c r="X138" s="2">
        <f>IF(W138="","",IF(W138&gt;=CONFIG!$B$11,"FUERTE",IF(W138&gt;=CONFIG!$B$12,"MEDIA","BAJA")))</f>
        <v/>
      </c>
      <c r="Y138" s="2">
        <f>IF(OR(H138="",S138=""),"",IF(OR(H138&lt;CONFIG!$B$2,H138&gt;CONFIG!$B$3),"NO APTO",IF(S138&lt;IF(H138&lt;1.6,CONFIG!$B$4,IF(H138&lt;1.7,CONFIG!$B$5,IF(H138&lt;1.8,CONFIG!$B$6,IF(H138&lt;2,CONFIG!$B$7,IF(H138&lt;2.2,CONFIG!$B$8,CONFIG!$B$9))))),"NO APTO",IF(V138&lt;CONFIG!$B$10,"NO APTO",IF(AND(W138&gt;=CONFIG!$B$11,R138&gt;=CONFIG!$B$13),"ALERTA FUERTE",IF(AND(W138&gt;=CONFIG!$B$12,R138&gt;=CONFIG!$B$13),"ALERTA MEDIA","NO APTO"))))))</f>
        <v/>
      </c>
      <c r="Z138" s="2">
        <f>IF(Y138="","",IF(Y138="NO APTO","Revisar cuota/probabilidad/EV/puntuación/muestra",IF(Y138="ALERTA FUERTE","Cumple filtros de cuota + probabilidad + EV + confianza + muestra","Cumple filtros, pero confianza inferior a FUERTE")))</f>
        <v/>
      </c>
    </row>
    <row r="139">
      <c r="A139" s="2">
        <f>IF(E139="","",ROW()-1)</f>
        <v/>
      </c>
      <c r="B139" s="2" t="inlineStr">
        <is>
          <t>2026-08-19</t>
        </is>
      </c>
      <c r="C139" s="2" t="inlineStr">
        <is>
          <t>10:00</t>
        </is>
      </c>
      <c r="D139" s="2" t="inlineStr">
        <is>
          <t>Cup</t>
        </is>
      </c>
      <c r="E139" s="2" t="inlineStr">
        <is>
          <t>Čaňa vs Lokomotíva Košice</t>
        </is>
      </c>
      <c r="F139" s="2" t="inlineStr">
        <is>
          <t>PENDIENTE</t>
        </is>
      </c>
      <c r="G139" s="2" t="inlineStr">
        <is>
          <t>SELECCIONAR MERCADO</t>
        </is>
      </c>
      <c r="H139" s="6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2" t="n"/>
      <c r="S139" s="7" t="n"/>
      <c r="T139" s="7">
        <f>IFERROR(1/H139,"")</f>
        <v/>
      </c>
      <c r="U139" s="7">
        <f>IF(OR(S139="",T139=""),"",S139-T139)</f>
        <v/>
      </c>
      <c r="V139" s="7">
        <f>IF(OR(S139="",H139=""),"",S139*H139-1)</f>
        <v/>
      </c>
      <c r="W139" s="2">
        <f>IF(E139="","",ROUND(100*(0.22*I139+0.18*J139+0.18*K139+0.10*L139+0.08*M139+0.06*N139+0.06*O139+0.04*P139+0.04*Q139+0.04*MIN(R139/10,1)),0))</f>
        <v/>
      </c>
      <c r="X139" s="2">
        <f>IF(W139="","",IF(W139&gt;=CONFIG!$B$11,"FUERTE",IF(W139&gt;=CONFIG!$B$12,"MEDIA","BAJA")))</f>
        <v/>
      </c>
      <c r="Y139" s="2">
        <f>IF(OR(H139="",S139=""),"",IF(OR(H139&lt;CONFIG!$B$2,H139&gt;CONFIG!$B$3),"NO APTO",IF(S139&lt;IF(H139&lt;1.6,CONFIG!$B$4,IF(H139&lt;1.7,CONFIG!$B$5,IF(H139&lt;1.8,CONFIG!$B$6,IF(H139&lt;2,CONFIG!$B$7,IF(H139&lt;2.2,CONFIG!$B$8,CONFIG!$B$9))))),"NO APTO",IF(V139&lt;CONFIG!$B$10,"NO APTO",IF(AND(W139&gt;=CONFIG!$B$11,R139&gt;=CONFIG!$B$13),"ALERTA FUERTE",IF(AND(W139&gt;=CONFIG!$B$12,R139&gt;=CONFIG!$B$13),"ALERTA MEDIA","NO APTO"))))))</f>
        <v/>
      </c>
      <c r="Z139" s="2">
        <f>IF(Y139="","",IF(Y139="NO APTO","Revisar cuota/probabilidad/EV/puntuación/muestra",IF(Y139="ALERTA FUERTE","Cumple filtros de cuota + probabilidad + EV + confianza + muestra","Cumple filtros, pero confianza inferior a FUERTE")))</f>
        <v/>
      </c>
    </row>
    <row r="140">
      <c r="A140" s="2">
        <f>IF(E140="","",ROW()-1)</f>
        <v/>
      </c>
      <c r="B140" s="2" t="inlineStr">
        <is>
          <t>2026-08-19</t>
        </is>
      </c>
      <c r="C140" s="2" t="inlineStr">
        <is>
          <t>10:00</t>
        </is>
      </c>
      <c r="D140" s="2" t="inlineStr">
        <is>
          <t>Cup</t>
        </is>
      </c>
      <c r="E140" s="2" t="inlineStr">
        <is>
          <t>Hronec vs Fiľakovo</t>
        </is>
      </c>
      <c r="F140" s="2" t="inlineStr">
        <is>
          <t>PENDIENTE</t>
        </is>
      </c>
      <c r="G140" s="2" t="inlineStr">
        <is>
          <t>SELECCIONAR MERCADO</t>
        </is>
      </c>
      <c r="H140" s="6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2" t="n"/>
      <c r="S140" s="7" t="n"/>
      <c r="T140" s="7">
        <f>IFERROR(1/H140,"")</f>
        <v/>
      </c>
      <c r="U140" s="7">
        <f>IF(OR(S140="",T140=""),"",S140-T140)</f>
        <v/>
      </c>
      <c r="V140" s="7">
        <f>IF(OR(S140="",H140=""),"",S140*H140-1)</f>
        <v/>
      </c>
      <c r="W140" s="2">
        <f>IF(E140="","",ROUND(100*(0.22*I140+0.18*J140+0.18*K140+0.10*L140+0.08*M140+0.06*N140+0.06*O140+0.04*P140+0.04*Q140+0.04*MIN(R140/10,1)),0))</f>
        <v/>
      </c>
      <c r="X140" s="2">
        <f>IF(W140="","",IF(W140&gt;=CONFIG!$B$11,"FUERTE",IF(W140&gt;=CONFIG!$B$12,"MEDIA","BAJA")))</f>
        <v/>
      </c>
      <c r="Y140" s="2">
        <f>IF(OR(H140="",S140=""),"",IF(OR(H140&lt;CONFIG!$B$2,H140&gt;CONFIG!$B$3),"NO APTO",IF(S140&lt;IF(H140&lt;1.6,CONFIG!$B$4,IF(H140&lt;1.7,CONFIG!$B$5,IF(H140&lt;1.8,CONFIG!$B$6,IF(H140&lt;2,CONFIG!$B$7,IF(H140&lt;2.2,CONFIG!$B$8,CONFIG!$B$9))))),"NO APTO",IF(V140&lt;CONFIG!$B$10,"NO APTO",IF(AND(W140&gt;=CONFIG!$B$11,R140&gt;=CONFIG!$B$13),"ALERTA FUERTE",IF(AND(W140&gt;=CONFIG!$B$12,R140&gt;=CONFIG!$B$13),"ALERTA MEDIA","NO APTO"))))))</f>
        <v/>
      </c>
      <c r="Z140" s="2">
        <f>IF(Y140="","",IF(Y140="NO APTO","Revisar cuota/probabilidad/EV/puntuación/muestra",IF(Y140="ALERTA FUERTE","Cumple filtros de cuota + probabilidad + EV + confianza + muestra","Cumple filtros, pero confianza inferior a FUERTE")))</f>
        <v/>
      </c>
    </row>
    <row r="141">
      <c r="A141" s="2">
        <f>IF(E141="","",ROW()-1)</f>
        <v/>
      </c>
      <c r="B141" s="2" t="inlineStr">
        <is>
          <t>2026-08-19</t>
        </is>
      </c>
      <c r="C141" s="2" t="inlineStr">
        <is>
          <t>10:00</t>
        </is>
      </c>
      <c r="D141" s="2" t="inlineStr">
        <is>
          <t>Cup</t>
        </is>
      </c>
      <c r="E141" s="2" t="inlineStr">
        <is>
          <t>Holíč vs Spartak Myjava</t>
        </is>
      </c>
      <c r="F141" s="2" t="inlineStr">
        <is>
          <t>PENDIENTE</t>
        </is>
      </c>
      <c r="G141" s="2" t="inlineStr">
        <is>
          <t>SELECCIONAR MERCADO</t>
        </is>
      </c>
      <c r="H141" s="6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2" t="n"/>
      <c r="S141" s="7" t="n"/>
      <c r="T141" s="7">
        <f>IFERROR(1/H141,"")</f>
        <v/>
      </c>
      <c r="U141" s="7">
        <f>IF(OR(S141="",T141=""),"",S141-T141)</f>
        <v/>
      </c>
      <c r="V141" s="7">
        <f>IF(OR(S141="",H141=""),"",S141*H141-1)</f>
        <v/>
      </c>
      <c r="W141" s="2">
        <f>IF(E141="","",ROUND(100*(0.22*I141+0.18*J141+0.18*K141+0.10*L141+0.08*M141+0.06*N141+0.06*O141+0.04*P141+0.04*Q141+0.04*MIN(R141/10,1)),0))</f>
        <v/>
      </c>
      <c r="X141" s="2">
        <f>IF(W141="","",IF(W141&gt;=CONFIG!$B$11,"FUERTE",IF(W141&gt;=CONFIG!$B$12,"MEDIA","BAJA")))</f>
        <v/>
      </c>
      <c r="Y141" s="2">
        <f>IF(OR(H141="",S141=""),"",IF(OR(H141&lt;CONFIG!$B$2,H141&gt;CONFIG!$B$3),"NO APTO",IF(S141&lt;IF(H141&lt;1.6,CONFIG!$B$4,IF(H141&lt;1.7,CONFIG!$B$5,IF(H141&lt;1.8,CONFIG!$B$6,IF(H141&lt;2,CONFIG!$B$7,IF(H141&lt;2.2,CONFIG!$B$8,CONFIG!$B$9))))),"NO APTO",IF(V141&lt;CONFIG!$B$10,"NO APTO",IF(AND(W141&gt;=CONFIG!$B$11,R141&gt;=CONFIG!$B$13),"ALERTA FUERTE",IF(AND(W141&gt;=CONFIG!$B$12,R141&gt;=CONFIG!$B$13),"ALERTA MEDIA","NO APTO"))))))</f>
        <v/>
      </c>
      <c r="Z141" s="2">
        <f>IF(Y141="","",IF(Y141="NO APTO","Revisar cuota/probabilidad/EV/puntuación/muestra",IF(Y141="ALERTA FUERTE","Cumple filtros de cuota + probabilidad + EV + confianza + muestra","Cumple filtros, pero confianza inferior a FUERTE")))</f>
        <v/>
      </c>
    </row>
    <row r="142">
      <c r="A142" s="2">
        <f>IF(E142="","",ROW()-1)</f>
        <v/>
      </c>
      <c r="B142" s="2" t="inlineStr">
        <is>
          <t>2026-08-19</t>
        </is>
      </c>
      <c r="C142" s="2" t="inlineStr">
        <is>
          <t>10:00</t>
        </is>
      </c>
      <c r="D142" s="2" t="inlineStr">
        <is>
          <t>Cup</t>
        </is>
      </c>
      <c r="E142" s="2" t="inlineStr">
        <is>
          <t>Jelka vs Kostolné Kračany</t>
        </is>
      </c>
      <c r="F142" s="2" t="inlineStr">
        <is>
          <t>PENDIENTE</t>
        </is>
      </c>
      <c r="G142" s="2" t="inlineStr">
        <is>
          <t>SELECCIONAR MERCADO</t>
        </is>
      </c>
      <c r="H142" s="6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2" t="n"/>
      <c r="S142" s="7" t="n"/>
      <c r="T142" s="7">
        <f>IFERROR(1/H142,"")</f>
        <v/>
      </c>
      <c r="U142" s="7">
        <f>IF(OR(S142="",T142=""),"",S142-T142)</f>
        <v/>
      </c>
      <c r="V142" s="7">
        <f>IF(OR(S142="",H142=""),"",S142*H142-1)</f>
        <v/>
      </c>
      <c r="W142" s="2">
        <f>IF(E142="","",ROUND(100*(0.22*I142+0.18*J142+0.18*K142+0.10*L142+0.08*M142+0.06*N142+0.06*O142+0.04*P142+0.04*Q142+0.04*MIN(R142/10,1)),0))</f>
        <v/>
      </c>
      <c r="X142" s="2">
        <f>IF(W142="","",IF(W142&gt;=CONFIG!$B$11,"FUERTE",IF(W142&gt;=CONFIG!$B$12,"MEDIA","BAJA")))</f>
        <v/>
      </c>
      <c r="Y142" s="2">
        <f>IF(OR(H142="",S142=""),"",IF(OR(H142&lt;CONFIG!$B$2,H142&gt;CONFIG!$B$3),"NO APTO",IF(S142&lt;IF(H142&lt;1.6,CONFIG!$B$4,IF(H142&lt;1.7,CONFIG!$B$5,IF(H142&lt;1.8,CONFIG!$B$6,IF(H142&lt;2,CONFIG!$B$7,IF(H142&lt;2.2,CONFIG!$B$8,CONFIG!$B$9))))),"NO APTO",IF(V142&lt;CONFIG!$B$10,"NO APTO",IF(AND(W142&gt;=CONFIG!$B$11,R142&gt;=CONFIG!$B$13),"ALERTA FUERTE",IF(AND(W142&gt;=CONFIG!$B$12,R142&gt;=CONFIG!$B$13),"ALERTA MEDIA","NO APTO"))))))</f>
        <v/>
      </c>
      <c r="Z142" s="2">
        <f>IF(Y142="","",IF(Y142="NO APTO","Revisar cuota/probabilidad/EV/puntuación/muestra",IF(Y142="ALERTA FUERTE","Cumple filtros de cuota + probabilidad + EV + confianza + muestra","Cumple filtros, pero confianza inferior a FUERTE")))</f>
        <v/>
      </c>
    </row>
    <row r="143">
      <c r="A143" s="2">
        <f>IF(E143="","",ROW()-1)</f>
        <v/>
      </c>
      <c r="B143" s="2" t="inlineStr">
        <is>
          <t>2026-08-19</t>
        </is>
      </c>
      <c r="C143" s="2" t="inlineStr">
        <is>
          <t>10:00</t>
        </is>
      </c>
      <c r="D143" s="2" t="inlineStr">
        <is>
          <t>Cup</t>
        </is>
      </c>
      <c r="E143" s="2" t="inlineStr">
        <is>
          <t>Kopčany vs Piešťany</t>
        </is>
      </c>
      <c r="F143" s="2" t="inlineStr">
        <is>
          <t>PENDIENTE</t>
        </is>
      </c>
      <c r="G143" s="2" t="inlineStr">
        <is>
          <t>SELECCIONAR MERCADO</t>
        </is>
      </c>
      <c r="H143" s="6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2" t="n"/>
      <c r="S143" s="7" t="n"/>
      <c r="T143" s="7">
        <f>IFERROR(1/H143,"")</f>
        <v/>
      </c>
      <c r="U143" s="7">
        <f>IF(OR(S143="",T143=""),"",S143-T143)</f>
        <v/>
      </c>
      <c r="V143" s="7">
        <f>IF(OR(S143="",H143=""),"",S143*H143-1)</f>
        <v/>
      </c>
      <c r="W143" s="2">
        <f>IF(E143="","",ROUND(100*(0.22*I143+0.18*J143+0.18*K143+0.10*L143+0.08*M143+0.06*N143+0.06*O143+0.04*P143+0.04*Q143+0.04*MIN(R143/10,1)),0))</f>
        <v/>
      </c>
      <c r="X143" s="2">
        <f>IF(W143="","",IF(W143&gt;=CONFIG!$B$11,"FUERTE",IF(W143&gt;=CONFIG!$B$12,"MEDIA","BAJA")))</f>
        <v/>
      </c>
      <c r="Y143" s="2">
        <f>IF(OR(H143="",S143=""),"",IF(OR(H143&lt;CONFIG!$B$2,H143&gt;CONFIG!$B$3),"NO APTO",IF(S143&lt;IF(H143&lt;1.6,CONFIG!$B$4,IF(H143&lt;1.7,CONFIG!$B$5,IF(H143&lt;1.8,CONFIG!$B$6,IF(H143&lt;2,CONFIG!$B$7,IF(H143&lt;2.2,CONFIG!$B$8,CONFIG!$B$9))))),"NO APTO",IF(V143&lt;CONFIG!$B$10,"NO APTO",IF(AND(W143&gt;=CONFIG!$B$11,R143&gt;=CONFIG!$B$13),"ALERTA FUERTE",IF(AND(W143&gt;=CONFIG!$B$12,R143&gt;=CONFIG!$B$13),"ALERTA MEDIA","NO APTO"))))))</f>
        <v/>
      </c>
      <c r="Z143" s="2">
        <f>IF(Y143="","",IF(Y143="NO APTO","Revisar cuota/probabilidad/EV/puntuación/muestra",IF(Y143="ALERTA FUERTE","Cumple filtros de cuota + probabilidad + EV + confianza + muestra","Cumple filtros, pero confianza inferior a FUERTE")))</f>
        <v/>
      </c>
    </row>
    <row r="144">
      <c r="A144" s="2">
        <f>IF(E144="","",ROW()-1)</f>
        <v/>
      </c>
      <c r="B144" s="2" t="inlineStr">
        <is>
          <t>2026-08-19</t>
        </is>
      </c>
      <c r="C144" s="2" t="inlineStr">
        <is>
          <t>10:00</t>
        </is>
      </c>
      <c r="D144" s="2" t="inlineStr">
        <is>
          <t>Cup</t>
        </is>
      </c>
      <c r="E144" s="2" t="inlineStr">
        <is>
          <t>Kysučan Korňa vs Čadca</t>
        </is>
      </c>
      <c r="F144" s="2" t="inlineStr">
        <is>
          <t>PENDIENTE</t>
        </is>
      </c>
      <c r="G144" s="2" t="inlineStr">
        <is>
          <t>SELECCIONAR MERCADO</t>
        </is>
      </c>
      <c r="H144" s="6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2" t="n"/>
      <c r="S144" s="7" t="n"/>
      <c r="T144" s="7">
        <f>IFERROR(1/H144,"")</f>
        <v/>
      </c>
      <c r="U144" s="7">
        <f>IF(OR(S144="",T144=""),"",S144-T144)</f>
        <v/>
      </c>
      <c r="V144" s="7">
        <f>IF(OR(S144="",H144=""),"",S144*H144-1)</f>
        <v/>
      </c>
      <c r="W144" s="2">
        <f>IF(E144="","",ROUND(100*(0.22*I144+0.18*J144+0.18*K144+0.10*L144+0.08*M144+0.06*N144+0.06*O144+0.04*P144+0.04*Q144+0.04*MIN(R144/10,1)),0))</f>
        <v/>
      </c>
      <c r="X144" s="2">
        <f>IF(W144="","",IF(W144&gt;=CONFIG!$B$11,"FUERTE",IF(W144&gt;=CONFIG!$B$12,"MEDIA","BAJA")))</f>
        <v/>
      </c>
      <c r="Y144" s="2">
        <f>IF(OR(H144="",S144=""),"",IF(OR(H144&lt;CONFIG!$B$2,H144&gt;CONFIG!$B$3),"NO APTO",IF(S144&lt;IF(H144&lt;1.6,CONFIG!$B$4,IF(H144&lt;1.7,CONFIG!$B$5,IF(H144&lt;1.8,CONFIG!$B$6,IF(H144&lt;2,CONFIG!$B$7,IF(H144&lt;2.2,CONFIG!$B$8,CONFIG!$B$9))))),"NO APTO",IF(V144&lt;CONFIG!$B$10,"NO APTO",IF(AND(W144&gt;=CONFIG!$B$11,R144&gt;=CONFIG!$B$13),"ALERTA FUERTE",IF(AND(W144&gt;=CONFIG!$B$12,R144&gt;=CONFIG!$B$13),"ALERTA MEDIA","NO APTO"))))))</f>
        <v/>
      </c>
      <c r="Z144" s="2">
        <f>IF(Y144="","",IF(Y144="NO APTO","Revisar cuota/probabilidad/EV/puntuación/muestra",IF(Y144="ALERTA FUERTE","Cumple filtros de cuota + probabilidad + EV + confianza + muestra","Cumple filtros, pero confianza inferior a FUERTE")))</f>
        <v/>
      </c>
    </row>
    <row r="145">
      <c r="A145" s="2">
        <f>IF(E145="","",ROW()-1)</f>
        <v/>
      </c>
      <c r="B145" s="2" t="inlineStr">
        <is>
          <t>2026-08-19</t>
        </is>
      </c>
      <c r="C145" s="2" t="inlineStr">
        <is>
          <t>10:00</t>
        </is>
      </c>
      <c r="D145" s="2" t="inlineStr">
        <is>
          <t>Cup</t>
        </is>
      </c>
      <c r="E145" s="2" t="inlineStr">
        <is>
          <t>Kováčová vs Lokomotíva Zvolen</t>
        </is>
      </c>
      <c r="F145" s="2" t="inlineStr">
        <is>
          <t>PENDIENTE</t>
        </is>
      </c>
      <c r="G145" s="2" t="inlineStr">
        <is>
          <t>SELECCIONAR MERCADO</t>
        </is>
      </c>
      <c r="H145" s="6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2" t="n"/>
      <c r="S145" s="7" t="n"/>
      <c r="T145" s="7">
        <f>IFERROR(1/H145,"")</f>
        <v/>
      </c>
      <c r="U145" s="7">
        <f>IF(OR(S145="",T145=""),"",S145-T145)</f>
        <v/>
      </c>
      <c r="V145" s="7">
        <f>IF(OR(S145="",H145=""),"",S145*H145-1)</f>
        <v/>
      </c>
      <c r="W145" s="2">
        <f>IF(E145="","",ROUND(100*(0.22*I145+0.18*J145+0.18*K145+0.10*L145+0.08*M145+0.06*N145+0.06*O145+0.04*P145+0.04*Q145+0.04*MIN(R145/10,1)),0))</f>
        <v/>
      </c>
      <c r="X145" s="2">
        <f>IF(W145="","",IF(W145&gt;=CONFIG!$B$11,"FUERTE",IF(W145&gt;=CONFIG!$B$12,"MEDIA","BAJA")))</f>
        <v/>
      </c>
      <c r="Y145" s="2">
        <f>IF(OR(H145="",S145=""),"",IF(OR(H145&lt;CONFIG!$B$2,H145&gt;CONFIG!$B$3),"NO APTO",IF(S145&lt;IF(H145&lt;1.6,CONFIG!$B$4,IF(H145&lt;1.7,CONFIG!$B$5,IF(H145&lt;1.8,CONFIG!$B$6,IF(H145&lt;2,CONFIG!$B$7,IF(H145&lt;2.2,CONFIG!$B$8,CONFIG!$B$9))))),"NO APTO",IF(V145&lt;CONFIG!$B$10,"NO APTO",IF(AND(W145&gt;=CONFIG!$B$11,R145&gt;=CONFIG!$B$13),"ALERTA FUERTE",IF(AND(W145&gt;=CONFIG!$B$12,R145&gt;=CONFIG!$B$13),"ALERTA MEDIA","NO APTO"))))))</f>
        <v/>
      </c>
      <c r="Z145" s="2">
        <f>IF(Y145="","",IF(Y145="NO APTO","Revisar cuota/probabilidad/EV/puntuación/muestra",IF(Y145="ALERTA FUERTE","Cumple filtros de cuota + probabilidad + EV + confianza + muestra","Cumple filtros, pero confianza inferior a FUERTE")))</f>
        <v/>
      </c>
    </row>
    <row r="146">
      <c r="A146" s="2">
        <f>IF(E146="","",ROW()-1)</f>
        <v/>
      </c>
      <c r="B146" s="2" t="inlineStr">
        <is>
          <t>2026-08-19</t>
        </is>
      </c>
      <c r="C146" s="2" t="inlineStr">
        <is>
          <t>10:00</t>
        </is>
      </c>
      <c r="D146" s="2" t="inlineStr">
        <is>
          <t>Cup</t>
        </is>
      </c>
      <c r="E146" s="2" t="inlineStr">
        <is>
          <t>Kovarce vs Slovan Duslo Šaľa</t>
        </is>
      </c>
      <c r="F146" s="2" t="inlineStr">
        <is>
          <t>PENDIENTE</t>
        </is>
      </c>
      <c r="G146" s="2" t="inlineStr">
        <is>
          <t>SELECCIONAR MERCADO</t>
        </is>
      </c>
      <c r="H146" s="6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2" t="n"/>
      <c r="S146" s="7" t="n"/>
      <c r="T146" s="7">
        <f>IFERROR(1/H146,"")</f>
        <v/>
      </c>
      <c r="U146" s="7">
        <f>IF(OR(S146="",T146=""),"",S146-T146)</f>
        <v/>
      </c>
      <c r="V146" s="7">
        <f>IF(OR(S146="",H146=""),"",S146*H146-1)</f>
        <v/>
      </c>
      <c r="W146" s="2">
        <f>IF(E146="","",ROUND(100*(0.22*I146+0.18*J146+0.18*K146+0.10*L146+0.08*M146+0.06*N146+0.06*O146+0.04*P146+0.04*Q146+0.04*MIN(R146/10,1)),0))</f>
        <v/>
      </c>
      <c r="X146" s="2">
        <f>IF(W146="","",IF(W146&gt;=CONFIG!$B$11,"FUERTE",IF(W146&gt;=CONFIG!$B$12,"MEDIA","BAJA")))</f>
        <v/>
      </c>
      <c r="Y146" s="2">
        <f>IF(OR(H146="",S146=""),"",IF(OR(H146&lt;CONFIG!$B$2,H146&gt;CONFIG!$B$3),"NO APTO",IF(S146&lt;IF(H146&lt;1.6,CONFIG!$B$4,IF(H146&lt;1.7,CONFIG!$B$5,IF(H146&lt;1.8,CONFIG!$B$6,IF(H146&lt;2,CONFIG!$B$7,IF(H146&lt;2.2,CONFIG!$B$8,CONFIG!$B$9))))),"NO APTO",IF(V146&lt;CONFIG!$B$10,"NO APTO",IF(AND(W146&gt;=CONFIG!$B$11,R146&gt;=CONFIG!$B$13),"ALERTA FUERTE",IF(AND(W146&gt;=CONFIG!$B$12,R146&gt;=CONFIG!$B$13),"ALERTA MEDIA","NO APTO"))))))</f>
        <v/>
      </c>
      <c r="Z146" s="2">
        <f>IF(Y146="","",IF(Y146="NO APTO","Revisar cuota/probabilidad/EV/puntuación/muestra",IF(Y146="ALERTA FUERTE","Cumple filtros de cuota + probabilidad + EV + confianza + muestra","Cumple filtros, pero confianza inferior a FUERTE")))</f>
        <v/>
      </c>
    </row>
    <row r="147">
      <c r="A147" s="2">
        <f>IF(E147="","",ROW()-1)</f>
        <v/>
      </c>
      <c r="B147" s="2" t="inlineStr">
        <is>
          <t>2026-08-19</t>
        </is>
      </c>
      <c r="C147" s="2" t="inlineStr">
        <is>
          <t>10:00</t>
        </is>
      </c>
      <c r="D147" s="2" t="inlineStr">
        <is>
          <t>Cup</t>
        </is>
      </c>
      <c r="E147" s="2" t="inlineStr">
        <is>
          <t>Tatran Krásno vs Podkonice</t>
        </is>
      </c>
      <c r="F147" s="2" t="inlineStr">
        <is>
          <t>PENDIENTE</t>
        </is>
      </c>
      <c r="G147" s="2" t="inlineStr">
        <is>
          <t>SELECCIONAR MERCADO</t>
        </is>
      </c>
      <c r="H147" s="6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2" t="n"/>
      <c r="S147" s="7" t="n"/>
      <c r="T147" s="7">
        <f>IFERROR(1/H147,"")</f>
        <v/>
      </c>
      <c r="U147" s="7">
        <f>IF(OR(S147="",T147=""),"",S147-T147)</f>
        <v/>
      </c>
      <c r="V147" s="7">
        <f>IF(OR(S147="",H147=""),"",S147*H147-1)</f>
        <v/>
      </c>
      <c r="W147" s="2">
        <f>IF(E147="","",ROUND(100*(0.22*I147+0.18*J147+0.18*K147+0.10*L147+0.08*M147+0.06*N147+0.06*O147+0.04*P147+0.04*Q147+0.04*MIN(R147/10,1)),0))</f>
        <v/>
      </c>
      <c r="X147" s="2">
        <f>IF(W147="","",IF(W147&gt;=CONFIG!$B$11,"FUERTE",IF(W147&gt;=CONFIG!$B$12,"MEDIA","BAJA")))</f>
        <v/>
      </c>
      <c r="Y147" s="2">
        <f>IF(OR(H147="",S147=""),"",IF(OR(H147&lt;CONFIG!$B$2,H147&gt;CONFIG!$B$3),"NO APTO",IF(S147&lt;IF(H147&lt;1.6,CONFIG!$B$4,IF(H147&lt;1.7,CONFIG!$B$5,IF(H147&lt;1.8,CONFIG!$B$6,IF(H147&lt;2,CONFIG!$B$7,IF(H147&lt;2.2,CONFIG!$B$8,CONFIG!$B$9))))),"NO APTO",IF(V147&lt;CONFIG!$B$10,"NO APTO",IF(AND(W147&gt;=CONFIG!$B$11,R147&gt;=CONFIG!$B$13),"ALERTA FUERTE",IF(AND(W147&gt;=CONFIG!$B$12,R147&gt;=CONFIG!$B$13),"ALERTA MEDIA","NO APTO"))))))</f>
        <v/>
      </c>
      <c r="Z147" s="2">
        <f>IF(Y147="","",IF(Y147="NO APTO","Revisar cuota/probabilidad/EV/puntuación/muestra",IF(Y147="ALERTA FUERTE","Cumple filtros de cuota + probabilidad + EV + confianza + muestra","Cumple filtros, pero confianza inferior a FUERTE")))</f>
        <v/>
      </c>
    </row>
    <row r="148">
      <c r="A148" s="2">
        <f>IF(E148="","",ROW()-1)</f>
        <v/>
      </c>
      <c r="B148" s="2" t="inlineStr">
        <is>
          <t>2026-08-19</t>
        </is>
      </c>
      <c r="C148" s="2" t="inlineStr">
        <is>
          <t>10:00</t>
        </is>
      </c>
      <c r="D148" s="2" t="inlineStr">
        <is>
          <t>Cup</t>
        </is>
      </c>
      <c r="E148" s="2" t="inlineStr">
        <is>
          <t>Spartak Kvašov vs Fomat Martin</t>
        </is>
      </c>
      <c r="F148" s="2" t="inlineStr">
        <is>
          <t>PENDIENTE</t>
        </is>
      </c>
      <c r="G148" s="2" t="inlineStr">
        <is>
          <t>SELECCIONAR MERCADO</t>
        </is>
      </c>
      <c r="H148" s="6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2" t="n"/>
      <c r="S148" s="7" t="n"/>
      <c r="T148" s="7">
        <f>IFERROR(1/H148,"")</f>
        <v/>
      </c>
      <c r="U148" s="7">
        <f>IF(OR(S148="",T148=""),"",S148-T148)</f>
        <v/>
      </c>
      <c r="V148" s="7">
        <f>IF(OR(S148="",H148=""),"",S148*H148-1)</f>
        <v/>
      </c>
      <c r="W148" s="2">
        <f>IF(E148="","",ROUND(100*(0.22*I148+0.18*J148+0.18*K148+0.10*L148+0.08*M148+0.06*N148+0.06*O148+0.04*P148+0.04*Q148+0.04*MIN(R148/10,1)),0))</f>
        <v/>
      </c>
      <c r="X148" s="2">
        <f>IF(W148="","",IF(W148&gt;=CONFIG!$B$11,"FUERTE",IF(W148&gt;=CONFIG!$B$12,"MEDIA","BAJA")))</f>
        <v/>
      </c>
      <c r="Y148" s="2">
        <f>IF(OR(H148="",S148=""),"",IF(OR(H148&lt;CONFIG!$B$2,H148&gt;CONFIG!$B$3),"NO APTO",IF(S148&lt;IF(H148&lt;1.6,CONFIG!$B$4,IF(H148&lt;1.7,CONFIG!$B$5,IF(H148&lt;1.8,CONFIG!$B$6,IF(H148&lt;2,CONFIG!$B$7,IF(H148&lt;2.2,CONFIG!$B$8,CONFIG!$B$9))))),"NO APTO",IF(V148&lt;CONFIG!$B$10,"NO APTO",IF(AND(W148&gt;=CONFIG!$B$11,R148&gt;=CONFIG!$B$13),"ALERTA FUERTE",IF(AND(W148&gt;=CONFIG!$B$12,R148&gt;=CONFIG!$B$13),"ALERTA MEDIA","NO APTO"))))))</f>
        <v/>
      </c>
      <c r="Z148" s="2">
        <f>IF(Y148="","",IF(Y148="NO APTO","Revisar cuota/probabilidad/EV/puntuación/muestra",IF(Y148="ALERTA FUERTE","Cumple filtros de cuota + probabilidad + EV + confianza + muestra","Cumple filtros, pero confianza inferior a FUERTE")))</f>
        <v/>
      </c>
    </row>
    <row r="149">
      <c r="A149" s="2">
        <f>IF(E149="","",ROW()-1)</f>
        <v/>
      </c>
      <c r="B149" s="2" t="inlineStr">
        <is>
          <t>2026-08-19</t>
        </is>
      </c>
      <c r="C149" s="2" t="inlineStr">
        <is>
          <t>10:00</t>
        </is>
      </c>
      <c r="D149" s="2" t="inlineStr">
        <is>
          <t>Cup</t>
        </is>
      </c>
      <c r="E149" s="2" t="inlineStr">
        <is>
          <t>Slovan Vavrečka vs Tvrdošín</t>
        </is>
      </c>
      <c r="F149" s="2" t="inlineStr">
        <is>
          <t>PENDIENTE</t>
        </is>
      </c>
      <c r="G149" s="2" t="inlineStr">
        <is>
          <t>SELECCIONAR MERCADO</t>
        </is>
      </c>
      <c r="H149" s="6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2" t="n"/>
      <c r="S149" s="7" t="n"/>
      <c r="T149" s="7">
        <f>IFERROR(1/H149,"")</f>
        <v/>
      </c>
      <c r="U149" s="7">
        <f>IF(OR(S149="",T149=""),"",S149-T149)</f>
        <v/>
      </c>
      <c r="V149" s="7">
        <f>IF(OR(S149="",H149=""),"",S149*H149-1)</f>
        <v/>
      </c>
      <c r="W149" s="2">
        <f>IF(E149="","",ROUND(100*(0.22*I149+0.18*J149+0.18*K149+0.10*L149+0.08*M149+0.06*N149+0.06*O149+0.04*P149+0.04*Q149+0.04*MIN(R149/10,1)),0))</f>
        <v/>
      </c>
      <c r="X149" s="2">
        <f>IF(W149="","",IF(W149&gt;=CONFIG!$B$11,"FUERTE",IF(W149&gt;=CONFIG!$B$12,"MEDIA","BAJA")))</f>
        <v/>
      </c>
      <c r="Y149" s="2">
        <f>IF(OR(H149="",S149=""),"",IF(OR(H149&lt;CONFIG!$B$2,H149&gt;CONFIG!$B$3),"NO APTO",IF(S149&lt;IF(H149&lt;1.6,CONFIG!$B$4,IF(H149&lt;1.7,CONFIG!$B$5,IF(H149&lt;1.8,CONFIG!$B$6,IF(H149&lt;2,CONFIG!$B$7,IF(H149&lt;2.2,CONFIG!$B$8,CONFIG!$B$9))))),"NO APTO",IF(V149&lt;CONFIG!$B$10,"NO APTO",IF(AND(W149&gt;=CONFIG!$B$11,R149&gt;=CONFIG!$B$13),"ALERTA FUERTE",IF(AND(W149&gt;=CONFIG!$B$12,R149&gt;=CONFIG!$B$13),"ALERTA MEDIA","NO APTO"))))))</f>
        <v/>
      </c>
      <c r="Z149" s="2">
        <f>IF(Y149="","",IF(Y149="NO APTO","Revisar cuota/probabilidad/EV/puntuación/muestra",IF(Y149="ALERTA FUERTE","Cumple filtros de cuota + probabilidad + EV + confianza + muestra","Cumple filtros, pero confianza inferior a FUERTE")))</f>
        <v/>
      </c>
    </row>
    <row r="150">
      <c r="A150" s="2">
        <f>IF(E150="","",ROW()-1)</f>
        <v/>
      </c>
      <c r="B150" s="2" t="inlineStr">
        <is>
          <t>2026-08-19</t>
        </is>
      </c>
      <c r="C150" s="2" t="inlineStr">
        <is>
          <t>10:00</t>
        </is>
      </c>
      <c r="D150" s="2" t="inlineStr">
        <is>
          <t>Cup</t>
        </is>
      </c>
      <c r="E150" s="2" t="inlineStr">
        <is>
          <t>Dolné Krškany vs Nitra</t>
        </is>
      </c>
      <c r="F150" s="2" t="inlineStr">
        <is>
          <t>PENDIENTE</t>
        </is>
      </c>
      <c r="G150" s="2" t="inlineStr">
        <is>
          <t>SELECCIONAR MERCADO</t>
        </is>
      </c>
      <c r="H150" s="6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2" t="n"/>
      <c r="S150" s="7" t="n"/>
      <c r="T150" s="7">
        <f>IFERROR(1/H150,"")</f>
        <v/>
      </c>
      <c r="U150" s="7">
        <f>IF(OR(S150="",T150=""),"",S150-T150)</f>
        <v/>
      </c>
      <c r="V150" s="7">
        <f>IF(OR(S150="",H150=""),"",S150*H150-1)</f>
        <v/>
      </c>
      <c r="W150" s="2">
        <f>IF(E150="","",ROUND(100*(0.22*I150+0.18*J150+0.18*K150+0.10*L150+0.08*M150+0.06*N150+0.06*O150+0.04*P150+0.04*Q150+0.04*MIN(R150/10,1)),0))</f>
        <v/>
      </c>
      <c r="X150" s="2">
        <f>IF(W150="","",IF(W150&gt;=CONFIG!$B$11,"FUERTE",IF(W150&gt;=CONFIG!$B$12,"MEDIA","BAJA")))</f>
        <v/>
      </c>
      <c r="Y150" s="2">
        <f>IF(OR(H150="",S150=""),"",IF(OR(H150&lt;CONFIG!$B$2,H150&gt;CONFIG!$B$3),"NO APTO",IF(S150&lt;IF(H150&lt;1.6,CONFIG!$B$4,IF(H150&lt;1.7,CONFIG!$B$5,IF(H150&lt;1.8,CONFIG!$B$6,IF(H150&lt;2,CONFIG!$B$7,IF(H150&lt;2.2,CONFIG!$B$8,CONFIG!$B$9))))),"NO APTO",IF(V150&lt;CONFIG!$B$10,"NO APTO",IF(AND(W150&gt;=CONFIG!$B$11,R150&gt;=CONFIG!$B$13),"ALERTA FUERTE",IF(AND(W150&gt;=CONFIG!$B$12,R150&gt;=CONFIG!$B$13),"ALERTA MEDIA","NO APTO"))))))</f>
        <v/>
      </c>
      <c r="Z150" s="2">
        <f>IF(Y150="","",IF(Y150="NO APTO","Revisar cuota/probabilidad/EV/puntuación/muestra",IF(Y150="ALERTA FUERTE","Cumple filtros de cuota + probabilidad + EV + confianza + muestra","Cumple filtros, pero confianza inferior a FUERTE")))</f>
        <v/>
      </c>
    </row>
    <row r="151">
      <c r="A151" s="2">
        <f>IF(E151="","",ROW()-1)</f>
        <v/>
      </c>
      <c r="B151" s="2" t="inlineStr">
        <is>
          <t>2026-08-19</t>
        </is>
      </c>
      <c r="C151" s="2" t="inlineStr">
        <is>
          <t>10:00</t>
        </is>
      </c>
      <c r="D151" s="2" t="inlineStr">
        <is>
          <t>Cup</t>
        </is>
      </c>
      <c r="E151" s="2" t="inlineStr">
        <is>
          <t>Nová Dedinka vs Petržalka</t>
        </is>
      </c>
      <c r="F151" s="2" t="inlineStr">
        <is>
          <t>PENDIENTE</t>
        </is>
      </c>
      <c r="G151" s="2" t="inlineStr">
        <is>
          <t>SELECCIONAR MERCADO</t>
        </is>
      </c>
      <c r="H151" s="6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2" t="n"/>
      <c r="S151" s="7" t="n"/>
      <c r="T151" s="7">
        <f>IFERROR(1/H151,"")</f>
        <v/>
      </c>
      <c r="U151" s="7">
        <f>IF(OR(S151="",T151=""),"",S151-T151)</f>
        <v/>
      </c>
      <c r="V151" s="7">
        <f>IF(OR(S151="",H151=""),"",S151*H151-1)</f>
        <v/>
      </c>
      <c r="W151" s="2">
        <f>IF(E151="","",ROUND(100*(0.22*I151+0.18*J151+0.18*K151+0.10*L151+0.08*M151+0.06*N151+0.06*O151+0.04*P151+0.04*Q151+0.04*MIN(R151/10,1)),0))</f>
        <v/>
      </c>
      <c r="X151" s="2">
        <f>IF(W151="","",IF(W151&gt;=CONFIG!$B$11,"FUERTE",IF(W151&gt;=CONFIG!$B$12,"MEDIA","BAJA")))</f>
        <v/>
      </c>
      <c r="Y151" s="2">
        <f>IF(OR(H151="",S151=""),"",IF(OR(H151&lt;CONFIG!$B$2,H151&gt;CONFIG!$B$3),"NO APTO",IF(S151&lt;IF(H151&lt;1.6,CONFIG!$B$4,IF(H151&lt;1.7,CONFIG!$B$5,IF(H151&lt;1.8,CONFIG!$B$6,IF(H151&lt;2,CONFIG!$B$7,IF(H151&lt;2.2,CONFIG!$B$8,CONFIG!$B$9))))),"NO APTO",IF(V151&lt;CONFIG!$B$10,"NO APTO",IF(AND(W151&gt;=CONFIG!$B$11,R151&gt;=CONFIG!$B$13),"ALERTA FUERTE",IF(AND(W151&gt;=CONFIG!$B$12,R151&gt;=CONFIG!$B$13),"ALERTA MEDIA","NO APTO"))))))</f>
        <v/>
      </c>
      <c r="Z151" s="2">
        <f>IF(Y151="","",IF(Y151="NO APTO","Revisar cuota/probabilidad/EV/puntuación/muestra",IF(Y151="ALERTA FUERTE","Cumple filtros de cuota + probabilidad + EV + confianza + muestra","Cumple filtros, pero confianza inferior a FUERTE")))</f>
        <v/>
      </c>
    </row>
    <row r="152">
      <c r="A152" s="2">
        <f>IF(E152="","",ROW()-1)</f>
        <v/>
      </c>
      <c r="B152" s="2" t="inlineStr">
        <is>
          <t>2026-08-19</t>
        </is>
      </c>
      <c r="C152" s="2" t="inlineStr">
        <is>
          <t>10:00</t>
        </is>
      </c>
      <c r="D152" s="2" t="inlineStr">
        <is>
          <t>Cup</t>
        </is>
      </c>
      <c r="E152" s="2" t="inlineStr">
        <is>
          <t>Oravan vs Považská Bystrica</t>
        </is>
      </c>
      <c r="F152" s="2" t="inlineStr">
        <is>
          <t>PENDIENTE</t>
        </is>
      </c>
      <c r="G152" s="2" t="inlineStr">
        <is>
          <t>SELECCIONAR MERCADO</t>
        </is>
      </c>
      <c r="H152" s="6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2" t="n"/>
      <c r="S152" s="7" t="n"/>
      <c r="T152" s="7">
        <f>IFERROR(1/H152,"")</f>
        <v/>
      </c>
      <c r="U152" s="7">
        <f>IF(OR(S152="",T152=""),"",S152-T152)</f>
        <v/>
      </c>
      <c r="V152" s="7">
        <f>IF(OR(S152="",H152=""),"",S152*H152-1)</f>
        <v/>
      </c>
      <c r="W152" s="2">
        <f>IF(E152="","",ROUND(100*(0.22*I152+0.18*J152+0.18*K152+0.10*L152+0.08*M152+0.06*N152+0.06*O152+0.04*P152+0.04*Q152+0.04*MIN(R152/10,1)),0))</f>
        <v/>
      </c>
      <c r="X152" s="2">
        <f>IF(W152="","",IF(W152&gt;=CONFIG!$B$11,"FUERTE",IF(W152&gt;=CONFIG!$B$12,"MEDIA","BAJA")))</f>
        <v/>
      </c>
      <c r="Y152" s="2">
        <f>IF(OR(H152="",S152=""),"",IF(OR(H152&lt;CONFIG!$B$2,H152&gt;CONFIG!$B$3),"NO APTO",IF(S152&lt;IF(H152&lt;1.6,CONFIG!$B$4,IF(H152&lt;1.7,CONFIG!$B$5,IF(H152&lt;1.8,CONFIG!$B$6,IF(H152&lt;2,CONFIG!$B$7,IF(H152&lt;2.2,CONFIG!$B$8,CONFIG!$B$9))))),"NO APTO",IF(V152&lt;CONFIG!$B$10,"NO APTO",IF(AND(W152&gt;=CONFIG!$B$11,R152&gt;=CONFIG!$B$13),"ALERTA FUERTE",IF(AND(W152&gt;=CONFIG!$B$12,R152&gt;=CONFIG!$B$13),"ALERTA MEDIA","NO APTO"))))))</f>
        <v/>
      </c>
      <c r="Z152" s="2">
        <f>IF(Y152="","",IF(Y152="NO APTO","Revisar cuota/probabilidad/EV/puntuación/muestra",IF(Y152="ALERTA FUERTE","Cumple filtros de cuota + probabilidad + EV + confianza + muestra","Cumple filtros, pero confianza inferior a FUERTE")))</f>
        <v/>
      </c>
    </row>
    <row r="153">
      <c r="A153" s="2">
        <f>IF(E153="","",ROW()-1)</f>
        <v/>
      </c>
      <c r="B153" s="2" t="inlineStr">
        <is>
          <t>2026-08-19</t>
        </is>
      </c>
      <c r="C153" s="2" t="inlineStr">
        <is>
          <t>10:00</t>
        </is>
      </c>
      <c r="D153" s="2" t="inlineStr">
        <is>
          <t>Cup</t>
        </is>
      </c>
      <c r="E153" s="2" t="inlineStr">
        <is>
          <t>Ostrovany vs Slovan Kendice</t>
        </is>
      </c>
      <c r="F153" s="2" t="inlineStr">
        <is>
          <t>PENDIENTE</t>
        </is>
      </c>
      <c r="G153" s="2" t="inlineStr">
        <is>
          <t>SELECCIONAR MERCADO</t>
        </is>
      </c>
      <c r="H153" s="6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2" t="n"/>
      <c r="S153" s="7" t="n"/>
      <c r="T153" s="7">
        <f>IFERROR(1/H153,"")</f>
        <v/>
      </c>
      <c r="U153" s="7">
        <f>IF(OR(S153="",T153=""),"",S153-T153)</f>
        <v/>
      </c>
      <c r="V153" s="7">
        <f>IF(OR(S153="",H153=""),"",S153*H153-1)</f>
        <v/>
      </c>
      <c r="W153" s="2">
        <f>IF(E153="","",ROUND(100*(0.22*I153+0.18*J153+0.18*K153+0.10*L153+0.08*M153+0.06*N153+0.06*O153+0.04*P153+0.04*Q153+0.04*MIN(R153/10,1)),0))</f>
        <v/>
      </c>
      <c r="X153" s="2">
        <f>IF(W153="","",IF(W153&gt;=CONFIG!$B$11,"FUERTE",IF(W153&gt;=CONFIG!$B$12,"MEDIA","BAJA")))</f>
        <v/>
      </c>
      <c r="Y153" s="2">
        <f>IF(OR(H153="",S153=""),"",IF(OR(H153&lt;CONFIG!$B$2,H153&gt;CONFIG!$B$3),"NO APTO",IF(S153&lt;IF(H153&lt;1.6,CONFIG!$B$4,IF(H153&lt;1.7,CONFIG!$B$5,IF(H153&lt;1.8,CONFIG!$B$6,IF(H153&lt;2,CONFIG!$B$7,IF(H153&lt;2.2,CONFIG!$B$8,CONFIG!$B$9))))),"NO APTO",IF(V153&lt;CONFIG!$B$10,"NO APTO",IF(AND(W153&gt;=CONFIG!$B$11,R153&gt;=CONFIG!$B$13),"ALERTA FUERTE",IF(AND(W153&gt;=CONFIG!$B$12,R153&gt;=CONFIG!$B$13),"ALERTA MEDIA","NO APTO"))))))</f>
        <v/>
      </c>
      <c r="Z153" s="2">
        <f>IF(Y153="","",IF(Y153="NO APTO","Revisar cuota/probabilidad/EV/puntuación/muestra",IF(Y153="ALERTA FUERTE","Cumple filtros de cuota + probabilidad + EV + confianza + muestra","Cumple filtros, pero confianza inferior a FUERTE")))</f>
        <v/>
      </c>
    </row>
    <row r="154">
      <c r="A154" s="2">
        <f>IF(E154="","",ROW()-1)</f>
        <v/>
      </c>
      <c r="B154" s="2" t="inlineStr">
        <is>
          <t>2026-08-19</t>
        </is>
      </c>
      <c r="C154" s="2" t="inlineStr">
        <is>
          <t>10:00</t>
        </is>
      </c>
      <c r="D154" s="2" t="inlineStr">
        <is>
          <t>Cup</t>
        </is>
      </c>
      <c r="E154" s="2" t="inlineStr">
        <is>
          <t>Raslavice vs FK Košice</t>
        </is>
      </c>
      <c r="F154" s="2" t="inlineStr">
        <is>
          <t>PENDIENTE</t>
        </is>
      </c>
      <c r="G154" s="2" t="inlineStr">
        <is>
          <t>SELECCIONAR MERCADO</t>
        </is>
      </c>
      <c r="H154" s="6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2" t="n"/>
      <c r="S154" s="7" t="n"/>
      <c r="T154" s="7">
        <f>IFERROR(1/H154,"")</f>
        <v/>
      </c>
      <c r="U154" s="7">
        <f>IF(OR(S154="",T154=""),"",S154-T154)</f>
        <v/>
      </c>
      <c r="V154" s="7">
        <f>IF(OR(S154="",H154=""),"",S154*H154-1)</f>
        <v/>
      </c>
      <c r="W154" s="2">
        <f>IF(E154="","",ROUND(100*(0.22*I154+0.18*J154+0.18*K154+0.10*L154+0.08*M154+0.06*N154+0.06*O154+0.04*P154+0.04*Q154+0.04*MIN(R154/10,1)),0))</f>
        <v/>
      </c>
      <c r="X154" s="2">
        <f>IF(W154="","",IF(W154&gt;=CONFIG!$B$11,"FUERTE",IF(W154&gt;=CONFIG!$B$12,"MEDIA","BAJA")))</f>
        <v/>
      </c>
      <c r="Y154" s="2">
        <f>IF(OR(H154="",S154=""),"",IF(OR(H154&lt;CONFIG!$B$2,H154&gt;CONFIG!$B$3),"NO APTO",IF(S154&lt;IF(H154&lt;1.6,CONFIG!$B$4,IF(H154&lt;1.7,CONFIG!$B$5,IF(H154&lt;1.8,CONFIG!$B$6,IF(H154&lt;2,CONFIG!$B$7,IF(H154&lt;2.2,CONFIG!$B$8,CONFIG!$B$9))))),"NO APTO",IF(V154&lt;CONFIG!$B$10,"NO APTO",IF(AND(W154&gt;=CONFIG!$B$11,R154&gt;=CONFIG!$B$13),"ALERTA FUERTE",IF(AND(W154&gt;=CONFIG!$B$12,R154&gt;=CONFIG!$B$13),"ALERTA MEDIA","NO APTO"))))))</f>
        <v/>
      </c>
      <c r="Z154" s="2">
        <f>IF(Y154="","",IF(Y154="NO APTO","Revisar cuota/probabilidad/EV/puntuación/muestra",IF(Y154="ALERTA FUERTE","Cumple filtros de cuota + probabilidad + EV + confianza + muestra","Cumple filtros, pero confianza inferior a FUERTE")))</f>
        <v/>
      </c>
    </row>
    <row r="155">
      <c r="A155" s="2">
        <f>IF(E155="","",ROW()-1)</f>
        <v/>
      </c>
      <c r="B155" s="2" t="inlineStr">
        <is>
          <t>2026-08-19</t>
        </is>
      </c>
      <c r="C155" s="2" t="inlineStr">
        <is>
          <t>10:00</t>
        </is>
      </c>
      <c r="D155" s="2" t="inlineStr">
        <is>
          <t>Cup</t>
        </is>
      </c>
      <c r="E155" s="2" t="inlineStr">
        <is>
          <t>Rohožník vs Šamorín</t>
        </is>
      </c>
      <c r="F155" s="2" t="inlineStr">
        <is>
          <t>PENDIENTE</t>
        </is>
      </c>
      <c r="G155" s="2" t="inlineStr">
        <is>
          <t>SELECCIONAR MERCADO</t>
        </is>
      </c>
      <c r="H155" s="6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2" t="n"/>
      <c r="S155" s="7" t="n"/>
      <c r="T155" s="7">
        <f>IFERROR(1/H155,"")</f>
        <v/>
      </c>
      <c r="U155" s="7">
        <f>IF(OR(S155="",T155=""),"",S155-T155)</f>
        <v/>
      </c>
      <c r="V155" s="7">
        <f>IF(OR(S155="",H155=""),"",S155*H155-1)</f>
        <v/>
      </c>
      <c r="W155" s="2">
        <f>IF(E155="","",ROUND(100*(0.22*I155+0.18*J155+0.18*K155+0.10*L155+0.08*M155+0.06*N155+0.06*O155+0.04*P155+0.04*Q155+0.04*MIN(R155/10,1)),0))</f>
        <v/>
      </c>
      <c r="X155" s="2">
        <f>IF(W155="","",IF(W155&gt;=CONFIG!$B$11,"FUERTE",IF(W155&gt;=CONFIG!$B$12,"MEDIA","BAJA")))</f>
        <v/>
      </c>
      <c r="Y155" s="2">
        <f>IF(OR(H155="",S155=""),"",IF(OR(H155&lt;CONFIG!$B$2,H155&gt;CONFIG!$B$3),"NO APTO",IF(S155&lt;IF(H155&lt;1.6,CONFIG!$B$4,IF(H155&lt;1.7,CONFIG!$B$5,IF(H155&lt;1.8,CONFIG!$B$6,IF(H155&lt;2,CONFIG!$B$7,IF(H155&lt;2.2,CONFIG!$B$8,CONFIG!$B$9))))),"NO APTO",IF(V155&lt;CONFIG!$B$10,"NO APTO",IF(AND(W155&gt;=CONFIG!$B$11,R155&gt;=CONFIG!$B$13),"ALERTA FUERTE",IF(AND(W155&gt;=CONFIG!$B$12,R155&gt;=CONFIG!$B$13),"ALERTA MEDIA","NO APTO"))))))</f>
        <v/>
      </c>
      <c r="Z155" s="2">
        <f>IF(Y155="","",IF(Y155="NO APTO","Revisar cuota/probabilidad/EV/puntuación/muestra",IF(Y155="ALERTA FUERTE","Cumple filtros de cuota + probabilidad + EV + confianza + muestra","Cumple filtros, pero confianza inferior a FUERTE")))</f>
        <v/>
      </c>
    </row>
    <row r="156">
      <c r="A156" s="2">
        <f>IF(E156="","",ROW()-1)</f>
        <v/>
      </c>
      <c r="B156" s="2" t="inlineStr">
        <is>
          <t>2026-08-19</t>
        </is>
      </c>
      <c r="C156" s="2" t="inlineStr">
        <is>
          <t>10:00</t>
        </is>
      </c>
      <c r="D156" s="2" t="inlineStr">
        <is>
          <t>Cup</t>
        </is>
      </c>
      <c r="E156" s="2" t="inlineStr">
        <is>
          <t>Rosina vs MFK Bytča</t>
        </is>
      </c>
      <c r="F156" s="2" t="inlineStr">
        <is>
          <t>PENDIENTE</t>
        </is>
      </c>
      <c r="G156" s="2" t="inlineStr">
        <is>
          <t>SELECCIONAR MERCADO</t>
        </is>
      </c>
      <c r="H156" s="6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2" t="n"/>
      <c r="S156" s="7" t="n"/>
      <c r="T156" s="7">
        <f>IFERROR(1/H156,"")</f>
        <v/>
      </c>
      <c r="U156" s="7">
        <f>IF(OR(S156="",T156=""),"",S156-T156)</f>
        <v/>
      </c>
      <c r="V156" s="7">
        <f>IF(OR(S156="",H156=""),"",S156*H156-1)</f>
        <v/>
      </c>
      <c r="W156" s="2">
        <f>IF(E156="","",ROUND(100*(0.22*I156+0.18*J156+0.18*K156+0.10*L156+0.08*M156+0.06*N156+0.06*O156+0.04*P156+0.04*Q156+0.04*MIN(R156/10,1)),0))</f>
        <v/>
      </c>
      <c r="X156" s="2">
        <f>IF(W156="","",IF(W156&gt;=CONFIG!$B$11,"FUERTE",IF(W156&gt;=CONFIG!$B$12,"MEDIA","BAJA")))</f>
        <v/>
      </c>
      <c r="Y156" s="2">
        <f>IF(OR(H156="",S156=""),"",IF(OR(H156&lt;CONFIG!$B$2,H156&gt;CONFIG!$B$3),"NO APTO",IF(S156&lt;IF(H156&lt;1.6,CONFIG!$B$4,IF(H156&lt;1.7,CONFIG!$B$5,IF(H156&lt;1.8,CONFIG!$B$6,IF(H156&lt;2,CONFIG!$B$7,IF(H156&lt;2.2,CONFIG!$B$8,CONFIG!$B$9))))),"NO APTO",IF(V156&lt;CONFIG!$B$10,"NO APTO",IF(AND(W156&gt;=CONFIG!$B$11,R156&gt;=CONFIG!$B$13),"ALERTA FUERTE",IF(AND(W156&gt;=CONFIG!$B$12,R156&gt;=CONFIG!$B$13),"ALERTA MEDIA","NO APTO"))))))</f>
        <v/>
      </c>
      <c r="Z156" s="2">
        <f>IF(Y156="","",IF(Y156="NO APTO","Revisar cuota/probabilidad/EV/puntuación/muestra",IF(Y156="ALERTA FUERTE","Cumple filtros de cuota + probabilidad + EV + confianza + muestra","Cumple filtros, pero confianza inferior a FUERTE")))</f>
        <v/>
      </c>
    </row>
    <row r="157">
      <c r="A157" s="2">
        <f>IF(E157="","",ROW()-1)</f>
        <v/>
      </c>
      <c r="B157" s="2" t="inlineStr">
        <is>
          <t>2026-08-19</t>
        </is>
      </c>
      <c r="C157" s="2" t="inlineStr">
        <is>
          <t>10:00</t>
        </is>
      </c>
      <c r="D157" s="2" t="inlineStr">
        <is>
          <t>Cup</t>
        </is>
      </c>
      <c r="E157" s="2" t="inlineStr">
        <is>
          <t>Rovnost Krajne vs Púchov</t>
        </is>
      </c>
      <c r="F157" s="2" t="inlineStr">
        <is>
          <t>PENDIENTE</t>
        </is>
      </c>
      <c r="G157" s="2" t="inlineStr">
        <is>
          <t>SELECCIONAR MERCADO</t>
        </is>
      </c>
      <c r="H157" s="6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2" t="n"/>
      <c r="S157" s="7" t="n"/>
      <c r="T157" s="7">
        <f>IFERROR(1/H157,"")</f>
        <v/>
      </c>
      <c r="U157" s="7">
        <f>IF(OR(S157="",T157=""),"",S157-T157)</f>
        <v/>
      </c>
      <c r="V157" s="7">
        <f>IF(OR(S157="",H157=""),"",S157*H157-1)</f>
        <v/>
      </c>
      <c r="W157" s="2">
        <f>IF(E157="","",ROUND(100*(0.22*I157+0.18*J157+0.18*K157+0.10*L157+0.08*M157+0.06*N157+0.06*O157+0.04*P157+0.04*Q157+0.04*MIN(R157/10,1)),0))</f>
        <v/>
      </c>
      <c r="X157" s="2">
        <f>IF(W157="","",IF(W157&gt;=CONFIG!$B$11,"FUERTE",IF(W157&gt;=CONFIG!$B$12,"MEDIA","BAJA")))</f>
        <v/>
      </c>
      <c r="Y157" s="2">
        <f>IF(OR(H157="",S157=""),"",IF(OR(H157&lt;CONFIG!$B$2,H157&gt;CONFIG!$B$3),"NO APTO",IF(S157&lt;IF(H157&lt;1.6,CONFIG!$B$4,IF(H157&lt;1.7,CONFIG!$B$5,IF(H157&lt;1.8,CONFIG!$B$6,IF(H157&lt;2,CONFIG!$B$7,IF(H157&lt;2.2,CONFIG!$B$8,CONFIG!$B$9))))),"NO APTO",IF(V157&lt;CONFIG!$B$10,"NO APTO",IF(AND(W157&gt;=CONFIG!$B$11,R157&gt;=CONFIG!$B$13),"ALERTA FUERTE",IF(AND(W157&gt;=CONFIG!$B$12,R157&gt;=CONFIG!$B$13),"ALERTA MEDIA","NO APTO"))))))</f>
        <v/>
      </c>
      <c r="Z157" s="2">
        <f>IF(Y157="","",IF(Y157="NO APTO","Revisar cuota/probabilidad/EV/puntuación/muestra",IF(Y157="ALERTA FUERTE","Cumple filtros de cuota + probabilidad + EV + confianza + muestra","Cumple filtros, pero confianza inferior a FUERTE")))</f>
        <v/>
      </c>
    </row>
    <row r="158">
      <c r="A158" s="2">
        <f>IF(E158="","",ROW()-1)</f>
        <v/>
      </c>
      <c r="B158" s="2" t="inlineStr">
        <is>
          <t>2026-08-19</t>
        </is>
      </c>
      <c r="C158" s="2" t="inlineStr">
        <is>
          <t>10:00</t>
        </is>
      </c>
      <c r="D158" s="2" t="inlineStr">
        <is>
          <t>Cup</t>
        </is>
      </c>
      <c r="E158" s="2" t="inlineStr">
        <is>
          <t>Rožňava vs Spartak Medzev</t>
        </is>
      </c>
      <c r="F158" s="2" t="inlineStr">
        <is>
          <t>PENDIENTE</t>
        </is>
      </c>
      <c r="G158" s="2" t="inlineStr">
        <is>
          <t>SELECCIONAR MERCADO</t>
        </is>
      </c>
      <c r="H158" s="6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2" t="n"/>
      <c r="S158" s="7" t="n"/>
      <c r="T158" s="7">
        <f>IFERROR(1/H158,"")</f>
        <v/>
      </c>
      <c r="U158" s="7">
        <f>IF(OR(S158="",T158=""),"",S158-T158)</f>
        <v/>
      </c>
      <c r="V158" s="7">
        <f>IF(OR(S158="",H158=""),"",S158*H158-1)</f>
        <v/>
      </c>
      <c r="W158" s="2">
        <f>IF(E158="","",ROUND(100*(0.22*I158+0.18*J158+0.18*K158+0.10*L158+0.08*M158+0.06*N158+0.06*O158+0.04*P158+0.04*Q158+0.04*MIN(R158/10,1)),0))</f>
        <v/>
      </c>
      <c r="X158" s="2">
        <f>IF(W158="","",IF(W158&gt;=CONFIG!$B$11,"FUERTE",IF(W158&gt;=CONFIG!$B$12,"MEDIA","BAJA")))</f>
        <v/>
      </c>
      <c r="Y158" s="2">
        <f>IF(OR(H158="",S158=""),"",IF(OR(H158&lt;CONFIG!$B$2,H158&gt;CONFIG!$B$3),"NO APTO",IF(S158&lt;IF(H158&lt;1.6,CONFIG!$B$4,IF(H158&lt;1.7,CONFIG!$B$5,IF(H158&lt;1.8,CONFIG!$B$6,IF(H158&lt;2,CONFIG!$B$7,IF(H158&lt;2.2,CONFIG!$B$8,CONFIG!$B$9))))),"NO APTO",IF(V158&lt;CONFIG!$B$10,"NO APTO",IF(AND(W158&gt;=CONFIG!$B$11,R158&gt;=CONFIG!$B$13),"ALERTA FUERTE",IF(AND(W158&gt;=CONFIG!$B$12,R158&gt;=CONFIG!$B$13),"ALERTA MEDIA","NO APTO"))))))</f>
        <v/>
      </c>
      <c r="Z158" s="2">
        <f>IF(Y158="","",IF(Y158="NO APTO","Revisar cuota/probabilidad/EV/puntuación/muestra",IF(Y158="ALERTA FUERTE","Cumple filtros de cuota + probabilidad + EV + confianza + muestra","Cumple filtros, pero confianza inferior a FUERTE")))</f>
        <v/>
      </c>
    </row>
    <row r="159">
      <c r="A159" s="2">
        <f>IF(E159="","",ROW()-1)</f>
        <v/>
      </c>
      <c r="B159" s="2" t="inlineStr">
        <is>
          <t>2026-08-19</t>
        </is>
      </c>
      <c r="C159" s="2" t="inlineStr">
        <is>
          <t>10:00</t>
        </is>
      </c>
      <c r="D159" s="2" t="inlineStr">
        <is>
          <t>Cup</t>
        </is>
      </c>
      <c r="E159" s="2" t="inlineStr">
        <is>
          <t>Rudňany vs Podbrezová</t>
        </is>
      </c>
      <c r="F159" s="2" t="inlineStr">
        <is>
          <t>PENDIENTE</t>
        </is>
      </c>
      <c r="G159" s="2" t="inlineStr">
        <is>
          <t>SELECCIONAR MERCADO</t>
        </is>
      </c>
      <c r="H159" s="6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2" t="n"/>
      <c r="S159" s="7" t="n"/>
      <c r="T159" s="7">
        <f>IFERROR(1/H159,"")</f>
        <v/>
      </c>
      <c r="U159" s="7">
        <f>IF(OR(S159="",T159=""),"",S159-T159)</f>
        <v/>
      </c>
      <c r="V159" s="7">
        <f>IF(OR(S159="",H159=""),"",S159*H159-1)</f>
        <v/>
      </c>
      <c r="W159" s="2">
        <f>IF(E159="","",ROUND(100*(0.22*I159+0.18*J159+0.18*K159+0.10*L159+0.08*M159+0.06*N159+0.06*O159+0.04*P159+0.04*Q159+0.04*MIN(R159/10,1)),0))</f>
        <v/>
      </c>
      <c r="X159" s="2">
        <f>IF(W159="","",IF(W159&gt;=CONFIG!$B$11,"FUERTE",IF(W159&gt;=CONFIG!$B$12,"MEDIA","BAJA")))</f>
        <v/>
      </c>
      <c r="Y159" s="2">
        <f>IF(OR(H159="",S159=""),"",IF(OR(H159&lt;CONFIG!$B$2,H159&gt;CONFIG!$B$3),"NO APTO",IF(S159&lt;IF(H159&lt;1.6,CONFIG!$B$4,IF(H159&lt;1.7,CONFIG!$B$5,IF(H159&lt;1.8,CONFIG!$B$6,IF(H159&lt;2,CONFIG!$B$7,IF(H159&lt;2.2,CONFIG!$B$8,CONFIG!$B$9))))),"NO APTO",IF(V159&lt;CONFIG!$B$10,"NO APTO",IF(AND(W159&gt;=CONFIG!$B$11,R159&gt;=CONFIG!$B$13),"ALERTA FUERTE",IF(AND(W159&gt;=CONFIG!$B$12,R159&gt;=CONFIG!$B$13),"ALERTA MEDIA","NO APTO"))))))</f>
        <v/>
      </c>
      <c r="Z159" s="2">
        <f>IF(Y159="","",IF(Y159="NO APTO","Revisar cuota/probabilidad/EV/puntuación/muestra",IF(Y159="ALERTA FUERTE","Cumple filtros de cuota + probabilidad + EV + confianza + muestra","Cumple filtros, pero confianza inferior a FUERTE")))</f>
        <v/>
      </c>
    </row>
    <row r="160">
      <c r="A160" s="2">
        <f>IF(E160="","",ROW()-1)</f>
        <v/>
      </c>
      <c r="B160" s="2" t="inlineStr">
        <is>
          <t>2026-08-19</t>
        </is>
      </c>
      <c r="C160" s="2" t="inlineStr">
        <is>
          <t>10:00</t>
        </is>
      </c>
      <c r="D160" s="2" t="inlineStr">
        <is>
          <t>Cup</t>
        </is>
      </c>
      <c r="E160" s="2" t="inlineStr">
        <is>
          <t>Šenkvice vs Dunajská Lužná</t>
        </is>
      </c>
      <c r="F160" s="2" t="inlineStr">
        <is>
          <t>PENDIENTE</t>
        </is>
      </c>
      <c r="G160" s="2" t="inlineStr">
        <is>
          <t>SELECCIONAR MERCADO</t>
        </is>
      </c>
      <c r="H160" s="6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2" t="n"/>
      <c r="S160" s="7" t="n"/>
      <c r="T160" s="7">
        <f>IFERROR(1/H160,"")</f>
        <v/>
      </c>
      <c r="U160" s="7">
        <f>IF(OR(S160="",T160=""),"",S160-T160)</f>
        <v/>
      </c>
      <c r="V160" s="7">
        <f>IF(OR(S160="",H160=""),"",S160*H160-1)</f>
        <v/>
      </c>
      <c r="W160" s="2">
        <f>IF(E160="","",ROUND(100*(0.22*I160+0.18*J160+0.18*K160+0.10*L160+0.08*M160+0.06*N160+0.06*O160+0.04*P160+0.04*Q160+0.04*MIN(R160/10,1)),0))</f>
        <v/>
      </c>
      <c r="X160" s="2">
        <f>IF(W160="","",IF(W160&gt;=CONFIG!$B$11,"FUERTE",IF(W160&gt;=CONFIG!$B$12,"MEDIA","BAJA")))</f>
        <v/>
      </c>
      <c r="Y160" s="2">
        <f>IF(OR(H160="",S160=""),"",IF(OR(H160&lt;CONFIG!$B$2,H160&gt;CONFIG!$B$3),"NO APTO",IF(S160&lt;IF(H160&lt;1.6,CONFIG!$B$4,IF(H160&lt;1.7,CONFIG!$B$5,IF(H160&lt;1.8,CONFIG!$B$6,IF(H160&lt;2,CONFIG!$B$7,IF(H160&lt;2.2,CONFIG!$B$8,CONFIG!$B$9))))),"NO APTO",IF(V160&lt;CONFIG!$B$10,"NO APTO",IF(AND(W160&gt;=CONFIG!$B$11,R160&gt;=CONFIG!$B$13),"ALERTA FUERTE",IF(AND(W160&gt;=CONFIG!$B$12,R160&gt;=CONFIG!$B$13),"ALERTA MEDIA","NO APTO"))))))</f>
        <v/>
      </c>
      <c r="Z160" s="2">
        <f>IF(Y160="","",IF(Y160="NO APTO","Revisar cuota/probabilidad/EV/puntuación/muestra",IF(Y160="ALERTA FUERTE","Cumple filtros de cuota + probabilidad + EV + confianza + muestra","Cumple filtros, pero confianza inferior a FUERTE")))</f>
        <v/>
      </c>
    </row>
    <row r="161">
      <c r="A161" s="2">
        <f>IF(E161="","",ROW()-1)</f>
        <v/>
      </c>
      <c r="B161" s="2" t="inlineStr">
        <is>
          <t>2026-08-19</t>
        </is>
      </c>
      <c r="C161" s="2" t="inlineStr">
        <is>
          <t>10:00</t>
        </is>
      </c>
      <c r="D161" s="2" t="inlineStr">
        <is>
          <t>Cup</t>
        </is>
      </c>
      <c r="E161" s="2" t="inlineStr">
        <is>
          <t>Šoporňa vs Malženice</t>
        </is>
      </c>
      <c r="F161" s="2" t="inlineStr">
        <is>
          <t>PENDIENTE</t>
        </is>
      </c>
      <c r="G161" s="2" t="inlineStr">
        <is>
          <t>SELECCIONAR MERCADO</t>
        </is>
      </c>
      <c r="H161" s="6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2" t="n"/>
      <c r="S161" s="7" t="n"/>
      <c r="T161" s="7">
        <f>IFERROR(1/H161,"")</f>
        <v/>
      </c>
      <c r="U161" s="7">
        <f>IF(OR(S161="",T161=""),"",S161-T161)</f>
        <v/>
      </c>
      <c r="V161" s="7">
        <f>IF(OR(S161="",H161=""),"",S161*H161-1)</f>
        <v/>
      </c>
      <c r="W161" s="2">
        <f>IF(E161="","",ROUND(100*(0.22*I161+0.18*J161+0.18*K161+0.10*L161+0.08*M161+0.06*N161+0.06*O161+0.04*P161+0.04*Q161+0.04*MIN(R161/10,1)),0))</f>
        <v/>
      </c>
      <c r="X161" s="2">
        <f>IF(W161="","",IF(W161&gt;=CONFIG!$B$11,"FUERTE",IF(W161&gt;=CONFIG!$B$12,"MEDIA","BAJA")))</f>
        <v/>
      </c>
      <c r="Y161" s="2">
        <f>IF(OR(H161="",S161=""),"",IF(OR(H161&lt;CONFIG!$B$2,H161&gt;CONFIG!$B$3),"NO APTO",IF(S161&lt;IF(H161&lt;1.6,CONFIG!$B$4,IF(H161&lt;1.7,CONFIG!$B$5,IF(H161&lt;1.8,CONFIG!$B$6,IF(H161&lt;2,CONFIG!$B$7,IF(H161&lt;2.2,CONFIG!$B$8,CONFIG!$B$9))))),"NO APTO",IF(V161&lt;CONFIG!$B$10,"NO APTO",IF(AND(W161&gt;=CONFIG!$B$11,R161&gt;=CONFIG!$B$13),"ALERTA FUERTE",IF(AND(W161&gt;=CONFIG!$B$12,R161&gt;=CONFIG!$B$13),"ALERTA MEDIA","NO APTO"))))))</f>
        <v/>
      </c>
      <c r="Z161" s="2">
        <f>IF(Y161="","",IF(Y161="NO APTO","Revisar cuota/probabilidad/EV/puntuación/muestra",IF(Y161="ALERTA FUERTE","Cumple filtros de cuota + probabilidad + EV + confianza + muestra","Cumple filtros, pero confianza inferior a FUERTE")))</f>
        <v/>
      </c>
    </row>
    <row r="162">
      <c r="A162" s="2">
        <f>IF(E162="","",ROW()-1)</f>
        <v/>
      </c>
      <c r="B162" s="2" t="inlineStr">
        <is>
          <t>2026-08-19</t>
        </is>
      </c>
      <c r="C162" s="2" t="inlineStr">
        <is>
          <t>10:00</t>
        </is>
      </c>
      <c r="D162" s="2" t="inlineStr">
        <is>
          <t>Cup</t>
        </is>
      </c>
      <c r="E162" s="2" t="inlineStr">
        <is>
          <t>Svätý Jur vs Malinovo</t>
        </is>
      </c>
      <c r="F162" s="2" t="inlineStr">
        <is>
          <t>PENDIENTE</t>
        </is>
      </c>
      <c r="G162" s="2" t="inlineStr">
        <is>
          <t>SELECCIONAR MERCADO</t>
        </is>
      </c>
      <c r="H162" s="6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2" t="n"/>
      <c r="S162" s="7" t="n"/>
      <c r="T162" s="7">
        <f>IFERROR(1/H162,"")</f>
        <v/>
      </c>
      <c r="U162" s="7">
        <f>IF(OR(S162="",T162=""),"",S162-T162)</f>
        <v/>
      </c>
      <c r="V162" s="7">
        <f>IF(OR(S162="",H162=""),"",S162*H162-1)</f>
        <v/>
      </c>
      <c r="W162" s="2">
        <f>IF(E162="","",ROUND(100*(0.22*I162+0.18*J162+0.18*K162+0.10*L162+0.08*M162+0.06*N162+0.06*O162+0.04*P162+0.04*Q162+0.04*MIN(R162/10,1)),0))</f>
        <v/>
      </c>
      <c r="X162" s="2">
        <f>IF(W162="","",IF(W162&gt;=CONFIG!$B$11,"FUERTE",IF(W162&gt;=CONFIG!$B$12,"MEDIA","BAJA")))</f>
        <v/>
      </c>
      <c r="Y162" s="2">
        <f>IF(OR(H162="",S162=""),"",IF(OR(H162&lt;CONFIG!$B$2,H162&gt;CONFIG!$B$3),"NO APTO",IF(S162&lt;IF(H162&lt;1.6,CONFIG!$B$4,IF(H162&lt;1.7,CONFIG!$B$5,IF(H162&lt;1.8,CONFIG!$B$6,IF(H162&lt;2,CONFIG!$B$7,IF(H162&lt;2.2,CONFIG!$B$8,CONFIG!$B$9))))),"NO APTO",IF(V162&lt;CONFIG!$B$10,"NO APTO",IF(AND(W162&gt;=CONFIG!$B$11,R162&gt;=CONFIG!$B$13),"ALERTA FUERTE",IF(AND(W162&gt;=CONFIG!$B$12,R162&gt;=CONFIG!$B$13),"ALERTA MEDIA","NO APTO"))))))</f>
        <v/>
      </c>
      <c r="Z162" s="2">
        <f>IF(Y162="","",IF(Y162="NO APTO","Revisar cuota/probabilidad/EV/puntuación/muestra",IF(Y162="ALERTA FUERTE","Cumple filtros de cuota + probabilidad + EV + confianza + muestra","Cumple filtros, pero confianza inferior a FUERTE")))</f>
        <v/>
      </c>
    </row>
    <row r="163">
      <c r="A163" s="2">
        <f>IF(E163="","",ROW()-1)</f>
        <v/>
      </c>
      <c r="B163" s="2" t="inlineStr">
        <is>
          <t>2026-08-19</t>
        </is>
      </c>
      <c r="C163" s="2" t="inlineStr">
        <is>
          <t>10:00</t>
        </is>
      </c>
      <c r="D163" s="2" t="inlineStr">
        <is>
          <t>Cup</t>
        </is>
      </c>
      <c r="E163" s="2" t="inlineStr">
        <is>
          <t>Svaty Peter vs Dunajska Streda</t>
        </is>
      </c>
      <c r="F163" s="2" t="inlineStr">
        <is>
          <t>PENDIENTE</t>
        </is>
      </c>
      <c r="G163" s="2" t="inlineStr">
        <is>
          <t>SELECCIONAR MERCADO</t>
        </is>
      </c>
      <c r="H163" s="6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2" t="n"/>
      <c r="S163" s="7" t="n"/>
      <c r="T163" s="7">
        <f>IFERROR(1/H163,"")</f>
        <v/>
      </c>
      <c r="U163" s="7">
        <f>IF(OR(S163="",T163=""),"",S163-T163)</f>
        <v/>
      </c>
      <c r="V163" s="7">
        <f>IF(OR(S163="",H163=""),"",S163*H163-1)</f>
        <v/>
      </c>
      <c r="W163" s="2">
        <f>IF(E163="","",ROUND(100*(0.22*I163+0.18*J163+0.18*K163+0.10*L163+0.08*M163+0.06*N163+0.06*O163+0.04*P163+0.04*Q163+0.04*MIN(R163/10,1)),0))</f>
        <v/>
      </c>
      <c r="X163" s="2">
        <f>IF(W163="","",IF(W163&gt;=CONFIG!$B$11,"FUERTE",IF(W163&gt;=CONFIG!$B$12,"MEDIA","BAJA")))</f>
        <v/>
      </c>
      <c r="Y163" s="2">
        <f>IF(OR(H163="",S163=""),"",IF(OR(H163&lt;CONFIG!$B$2,H163&gt;CONFIG!$B$3),"NO APTO",IF(S163&lt;IF(H163&lt;1.6,CONFIG!$B$4,IF(H163&lt;1.7,CONFIG!$B$5,IF(H163&lt;1.8,CONFIG!$B$6,IF(H163&lt;2,CONFIG!$B$7,IF(H163&lt;2.2,CONFIG!$B$8,CONFIG!$B$9))))),"NO APTO",IF(V163&lt;CONFIG!$B$10,"NO APTO",IF(AND(W163&gt;=CONFIG!$B$11,R163&gt;=CONFIG!$B$13),"ALERTA FUERTE",IF(AND(W163&gt;=CONFIG!$B$12,R163&gt;=CONFIG!$B$13),"ALERTA MEDIA","NO APTO"))))))</f>
        <v/>
      </c>
      <c r="Z163" s="2">
        <f>IF(Y163="","",IF(Y163="NO APTO","Revisar cuota/probabilidad/EV/puntuación/muestra",IF(Y163="ALERTA FUERTE","Cumple filtros de cuota + probabilidad + EV + confianza + muestra","Cumple filtros, pero confianza inferior a FUERTE")))</f>
        <v/>
      </c>
    </row>
    <row r="164">
      <c r="A164" s="2">
        <f>IF(E164="","",ROW()-1)</f>
        <v/>
      </c>
      <c r="B164" s="2" t="inlineStr">
        <is>
          <t>2026-08-19</t>
        </is>
      </c>
      <c r="C164" s="2" t="inlineStr">
        <is>
          <t>10:00</t>
        </is>
      </c>
      <c r="D164" s="2" t="inlineStr">
        <is>
          <t>Cup</t>
        </is>
      </c>
      <c r="E164" s="2" t="inlineStr">
        <is>
          <t>Tomášov vs Gabčíkovo</t>
        </is>
      </c>
      <c r="F164" s="2" t="inlineStr">
        <is>
          <t>PENDIENTE</t>
        </is>
      </c>
      <c r="G164" s="2" t="inlineStr">
        <is>
          <t>SELECCIONAR MERCADO</t>
        </is>
      </c>
      <c r="H164" s="6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2" t="n"/>
      <c r="S164" s="7" t="n"/>
      <c r="T164" s="7">
        <f>IFERROR(1/H164,"")</f>
        <v/>
      </c>
      <c r="U164" s="7">
        <f>IF(OR(S164="",T164=""),"",S164-T164)</f>
        <v/>
      </c>
      <c r="V164" s="7">
        <f>IF(OR(S164="",H164=""),"",S164*H164-1)</f>
        <v/>
      </c>
      <c r="W164" s="2">
        <f>IF(E164="","",ROUND(100*(0.22*I164+0.18*J164+0.18*K164+0.10*L164+0.08*M164+0.06*N164+0.06*O164+0.04*P164+0.04*Q164+0.04*MIN(R164/10,1)),0))</f>
        <v/>
      </c>
      <c r="X164" s="2">
        <f>IF(W164="","",IF(W164&gt;=CONFIG!$B$11,"FUERTE",IF(W164&gt;=CONFIG!$B$12,"MEDIA","BAJA")))</f>
        <v/>
      </c>
      <c r="Y164" s="2">
        <f>IF(OR(H164="",S164=""),"",IF(OR(H164&lt;CONFIG!$B$2,H164&gt;CONFIG!$B$3),"NO APTO",IF(S164&lt;IF(H164&lt;1.6,CONFIG!$B$4,IF(H164&lt;1.7,CONFIG!$B$5,IF(H164&lt;1.8,CONFIG!$B$6,IF(H164&lt;2,CONFIG!$B$7,IF(H164&lt;2.2,CONFIG!$B$8,CONFIG!$B$9))))),"NO APTO",IF(V164&lt;CONFIG!$B$10,"NO APTO",IF(AND(W164&gt;=CONFIG!$B$11,R164&gt;=CONFIG!$B$13),"ALERTA FUERTE",IF(AND(W164&gt;=CONFIG!$B$12,R164&gt;=CONFIG!$B$13),"ALERTA MEDIA","NO APTO"))))))</f>
        <v/>
      </c>
      <c r="Z164" s="2">
        <f>IF(Y164="","",IF(Y164="NO APTO","Revisar cuota/probabilidad/EV/puntuación/muestra",IF(Y164="ALERTA FUERTE","Cumple filtros de cuota + probabilidad + EV + confianza + muestra","Cumple filtros, pero confianza inferior a FUERTE")))</f>
        <v/>
      </c>
    </row>
    <row r="165">
      <c r="A165" s="2">
        <f>IF(E165="","",ROW()-1)</f>
        <v/>
      </c>
      <c r="B165" s="2" t="inlineStr">
        <is>
          <t>2026-08-19</t>
        </is>
      </c>
      <c r="C165" s="2" t="inlineStr">
        <is>
          <t>10:00</t>
        </is>
      </c>
      <c r="D165" s="2" t="inlineStr">
        <is>
          <t>Cup</t>
        </is>
      </c>
      <c r="E165" s="2" t="inlineStr">
        <is>
          <t>Trebatice vs Boleráz</t>
        </is>
      </c>
      <c r="F165" s="2" t="inlineStr">
        <is>
          <t>PENDIENTE</t>
        </is>
      </c>
      <c r="G165" s="2" t="inlineStr">
        <is>
          <t>SELECCIONAR MERCADO</t>
        </is>
      </c>
      <c r="H165" s="6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2" t="n"/>
      <c r="S165" s="7" t="n"/>
      <c r="T165" s="7">
        <f>IFERROR(1/H165,"")</f>
        <v/>
      </c>
      <c r="U165" s="7">
        <f>IF(OR(S165="",T165=""),"",S165-T165)</f>
        <v/>
      </c>
      <c r="V165" s="7">
        <f>IF(OR(S165="",H165=""),"",S165*H165-1)</f>
        <v/>
      </c>
      <c r="W165" s="2">
        <f>IF(E165="","",ROUND(100*(0.22*I165+0.18*J165+0.18*K165+0.10*L165+0.08*M165+0.06*N165+0.06*O165+0.04*P165+0.04*Q165+0.04*MIN(R165/10,1)),0))</f>
        <v/>
      </c>
      <c r="X165" s="2">
        <f>IF(W165="","",IF(W165&gt;=CONFIG!$B$11,"FUERTE",IF(W165&gt;=CONFIG!$B$12,"MEDIA","BAJA")))</f>
        <v/>
      </c>
      <c r="Y165" s="2">
        <f>IF(OR(H165="",S165=""),"",IF(OR(H165&lt;CONFIG!$B$2,H165&gt;CONFIG!$B$3),"NO APTO",IF(S165&lt;IF(H165&lt;1.6,CONFIG!$B$4,IF(H165&lt;1.7,CONFIG!$B$5,IF(H165&lt;1.8,CONFIG!$B$6,IF(H165&lt;2,CONFIG!$B$7,IF(H165&lt;2.2,CONFIG!$B$8,CONFIG!$B$9))))),"NO APTO",IF(V165&lt;CONFIG!$B$10,"NO APTO",IF(AND(W165&gt;=CONFIG!$B$11,R165&gt;=CONFIG!$B$13),"ALERTA FUERTE",IF(AND(W165&gt;=CONFIG!$B$12,R165&gt;=CONFIG!$B$13),"ALERTA MEDIA","NO APTO"))))))</f>
        <v/>
      </c>
      <c r="Z165" s="2">
        <f>IF(Y165="","",IF(Y165="NO APTO","Revisar cuota/probabilidad/EV/puntuación/muestra",IF(Y165="ALERTA FUERTE","Cumple filtros de cuota + probabilidad + EV + confianza + muestra","Cumple filtros, pero confianza inferior a FUERTE")))</f>
        <v/>
      </c>
    </row>
    <row r="166">
      <c r="A166" s="2">
        <f>IF(E166="","",ROW()-1)</f>
        <v/>
      </c>
      <c r="B166" s="2" t="inlineStr">
        <is>
          <t>2026-08-19</t>
        </is>
      </c>
      <c r="C166" s="2" t="inlineStr">
        <is>
          <t>10:00</t>
        </is>
      </c>
      <c r="D166" s="2" t="inlineStr">
        <is>
          <t>Cup</t>
        </is>
      </c>
      <c r="E166" s="2" t="inlineStr">
        <is>
          <t>Vinohrad Čebovce vs Druzstevnik Latky</t>
        </is>
      </c>
      <c r="F166" s="2" t="inlineStr">
        <is>
          <t>PENDIENTE</t>
        </is>
      </c>
      <c r="G166" s="2" t="inlineStr">
        <is>
          <t>SELECCIONAR MERCADO</t>
        </is>
      </c>
      <c r="H166" s="6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2" t="n"/>
      <c r="S166" s="7" t="n"/>
      <c r="T166" s="7">
        <f>IFERROR(1/H166,"")</f>
        <v/>
      </c>
      <c r="U166" s="7">
        <f>IF(OR(S166="",T166=""),"",S166-T166)</f>
        <v/>
      </c>
      <c r="V166" s="7">
        <f>IF(OR(S166="",H166=""),"",S166*H166-1)</f>
        <v/>
      </c>
      <c r="W166" s="2">
        <f>IF(E166="","",ROUND(100*(0.22*I166+0.18*J166+0.18*K166+0.10*L166+0.08*M166+0.06*N166+0.06*O166+0.04*P166+0.04*Q166+0.04*MIN(R166/10,1)),0))</f>
        <v/>
      </c>
      <c r="X166" s="2">
        <f>IF(W166="","",IF(W166&gt;=CONFIG!$B$11,"FUERTE",IF(W166&gt;=CONFIG!$B$12,"MEDIA","BAJA")))</f>
        <v/>
      </c>
      <c r="Y166" s="2">
        <f>IF(OR(H166="",S166=""),"",IF(OR(H166&lt;CONFIG!$B$2,H166&gt;CONFIG!$B$3),"NO APTO",IF(S166&lt;IF(H166&lt;1.6,CONFIG!$B$4,IF(H166&lt;1.7,CONFIG!$B$5,IF(H166&lt;1.8,CONFIG!$B$6,IF(H166&lt;2,CONFIG!$B$7,IF(H166&lt;2.2,CONFIG!$B$8,CONFIG!$B$9))))),"NO APTO",IF(V166&lt;CONFIG!$B$10,"NO APTO",IF(AND(W166&gt;=CONFIG!$B$11,R166&gt;=CONFIG!$B$13),"ALERTA FUERTE",IF(AND(W166&gt;=CONFIG!$B$12,R166&gt;=CONFIG!$B$13),"ALERTA MEDIA","NO APTO"))))))</f>
        <v/>
      </c>
      <c r="Z166" s="2">
        <f>IF(Y166="","",IF(Y166="NO APTO","Revisar cuota/probabilidad/EV/puntuación/muestra",IF(Y166="ALERTA FUERTE","Cumple filtros de cuota + probabilidad + EV + confianza + muestra","Cumple filtros, pero confianza inferior a FUERTE")))</f>
        <v/>
      </c>
    </row>
    <row r="167">
      <c r="A167" s="2">
        <f>IF(E167="","",ROW()-1)</f>
        <v/>
      </c>
      <c r="B167" s="2" t="inlineStr">
        <is>
          <t>2026-08-19</t>
        </is>
      </c>
      <c r="C167" s="2" t="inlineStr">
        <is>
          <t>10:00</t>
        </is>
      </c>
      <c r="D167" s="2" t="inlineStr">
        <is>
          <t>Cup</t>
        </is>
      </c>
      <c r="E167" s="2" t="inlineStr">
        <is>
          <t>Vycapy Opatovce vs Galanta</t>
        </is>
      </c>
      <c r="F167" s="2" t="inlineStr">
        <is>
          <t>PENDIENTE</t>
        </is>
      </c>
      <c r="G167" s="2" t="inlineStr">
        <is>
          <t>SELECCIONAR MERCADO</t>
        </is>
      </c>
      <c r="H167" s="6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2" t="n"/>
      <c r="S167" s="7" t="n"/>
      <c r="T167" s="7">
        <f>IFERROR(1/H167,"")</f>
        <v/>
      </c>
      <c r="U167" s="7">
        <f>IF(OR(S167="",T167=""),"",S167-T167)</f>
        <v/>
      </c>
      <c r="V167" s="7">
        <f>IF(OR(S167="",H167=""),"",S167*H167-1)</f>
        <v/>
      </c>
      <c r="W167" s="2">
        <f>IF(E167="","",ROUND(100*(0.22*I167+0.18*J167+0.18*K167+0.10*L167+0.08*M167+0.06*N167+0.06*O167+0.04*P167+0.04*Q167+0.04*MIN(R167/10,1)),0))</f>
        <v/>
      </c>
      <c r="X167" s="2">
        <f>IF(W167="","",IF(W167&gt;=CONFIG!$B$11,"FUERTE",IF(W167&gt;=CONFIG!$B$12,"MEDIA","BAJA")))</f>
        <v/>
      </c>
      <c r="Y167" s="2">
        <f>IF(OR(H167="",S167=""),"",IF(OR(H167&lt;CONFIG!$B$2,H167&gt;CONFIG!$B$3),"NO APTO",IF(S167&lt;IF(H167&lt;1.6,CONFIG!$B$4,IF(H167&lt;1.7,CONFIG!$B$5,IF(H167&lt;1.8,CONFIG!$B$6,IF(H167&lt;2,CONFIG!$B$7,IF(H167&lt;2.2,CONFIG!$B$8,CONFIG!$B$9))))),"NO APTO",IF(V167&lt;CONFIG!$B$10,"NO APTO",IF(AND(W167&gt;=CONFIG!$B$11,R167&gt;=CONFIG!$B$13),"ALERTA FUERTE",IF(AND(W167&gt;=CONFIG!$B$12,R167&gt;=CONFIG!$B$13),"ALERTA MEDIA","NO APTO"))))))</f>
        <v/>
      </c>
      <c r="Z167" s="2">
        <f>IF(Y167="","",IF(Y167="NO APTO","Revisar cuota/probabilidad/EV/puntuación/muestra",IF(Y167="ALERTA FUERTE","Cumple filtros de cuota + probabilidad + EV + confianza + muestra","Cumple filtros, pero confianza inferior a FUERTE")))</f>
        <v/>
      </c>
    </row>
    <row r="168">
      <c r="A168" s="2">
        <f>IF(E168="","",ROW()-1)</f>
        <v/>
      </c>
      <c r="B168" s="2" t="inlineStr">
        <is>
          <t>2026-08-19</t>
        </is>
      </c>
      <c r="C168" s="2" t="inlineStr">
        <is>
          <t>10:00</t>
        </is>
      </c>
      <c r="D168" s="2" t="inlineStr">
        <is>
          <t>Cup</t>
        </is>
      </c>
      <c r="E168" s="2" t="inlineStr">
        <is>
          <t>Závažná Poruba vs Kysucké Nové Mesto</t>
        </is>
      </c>
      <c r="F168" s="2" t="inlineStr">
        <is>
          <t>PENDIENTE</t>
        </is>
      </c>
      <c r="G168" s="2" t="inlineStr">
        <is>
          <t>SELECCIONAR MERCADO</t>
        </is>
      </c>
      <c r="H168" s="6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2" t="n"/>
      <c r="S168" s="7" t="n"/>
      <c r="T168" s="7">
        <f>IFERROR(1/H168,"")</f>
        <v/>
      </c>
      <c r="U168" s="7">
        <f>IF(OR(S168="",T168=""),"",S168-T168)</f>
        <v/>
      </c>
      <c r="V168" s="7">
        <f>IF(OR(S168="",H168=""),"",S168*H168-1)</f>
        <v/>
      </c>
      <c r="W168" s="2">
        <f>IF(E168="","",ROUND(100*(0.22*I168+0.18*J168+0.18*K168+0.10*L168+0.08*M168+0.06*N168+0.06*O168+0.04*P168+0.04*Q168+0.04*MIN(R168/10,1)),0))</f>
        <v/>
      </c>
      <c r="X168" s="2">
        <f>IF(W168="","",IF(W168&gt;=CONFIG!$B$11,"FUERTE",IF(W168&gt;=CONFIG!$B$12,"MEDIA","BAJA")))</f>
        <v/>
      </c>
      <c r="Y168" s="2">
        <f>IF(OR(H168="",S168=""),"",IF(OR(H168&lt;CONFIG!$B$2,H168&gt;CONFIG!$B$3),"NO APTO",IF(S168&lt;IF(H168&lt;1.6,CONFIG!$B$4,IF(H168&lt;1.7,CONFIG!$B$5,IF(H168&lt;1.8,CONFIG!$B$6,IF(H168&lt;2,CONFIG!$B$7,IF(H168&lt;2.2,CONFIG!$B$8,CONFIG!$B$9))))),"NO APTO",IF(V168&lt;CONFIG!$B$10,"NO APTO",IF(AND(W168&gt;=CONFIG!$B$11,R168&gt;=CONFIG!$B$13),"ALERTA FUERTE",IF(AND(W168&gt;=CONFIG!$B$12,R168&gt;=CONFIG!$B$13),"ALERTA MEDIA","NO APTO"))))))</f>
        <v/>
      </c>
      <c r="Z168" s="2">
        <f>IF(Y168="","",IF(Y168="NO APTO","Revisar cuota/probabilidad/EV/puntuación/muestra",IF(Y168="ALERTA FUERTE","Cumple filtros de cuota + probabilidad + EV + confianza + muestra","Cumple filtros, pero confianza inferior a FUERTE")))</f>
        <v/>
      </c>
    </row>
    <row r="169">
      <c r="A169" s="2">
        <f>IF(E169="","",ROW()-1)</f>
        <v/>
      </c>
      <c r="B169" s="2" t="inlineStr">
        <is>
          <t>2026-08-19</t>
        </is>
      </c>
      <c r="C169" s="2" t="inlineStr">
        <is>
          <t>10:00</t>
        </is>
      </c>
      <c r="D169" s="2" t="inlineStr">
        <is>
          <t>Cup</t>
        </is>
      </c>
      <c r="E169" s="2" t="inlineStr">
        <is>
          <t>Zitavany vs Veľké Ludince</t>
        </is>
      </c>
      <c r="F169" s="2" t="inlineStr">
        <is>
          <t>PENDIENTE</t>
        </is>
      </c>
      <c r="G169" s="2" t="inlineStr">
        <is>
          <t>SELECCIONAR MERCADO</t>
        </is>
      </c>
      <c r="H169" s="6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2" t="n"/>
      <c r="S169" s="7" t="n"/>
      <c r="T169" s="7">
        <f>IFERROR(1/H169,"")</f>
        <v/>
      </c>
      <c r="U169" s="7">
        <f>IF(OR(S169="",T169=""),"",S169-T169)</f>
        <v/>
      </c>
      <c r="V169" s="7">
        <f>IF(OR(S169="",H169=""),"",S169*H169-1)</f>
        <v/>
      </c>
      <c r="W169" s="2">
        <f>IF(E169="","",ROUND(100*(0.22*I169+0.18*J169+0.18*K169+0.10*L169+0.08*M169+0.06*N169+0.06*O169+0.04*P169+0.04*Q169+0.04*MIN(R169/10,1)),0))</f>
        <v/>
      </c>
      <c r="X169" s="2">
        <f>IF(W169="","",IF(W169&gt;=CONFIG!$B$11,"FUERTE",IF(W169&gt;=CONFIG!$B$12,"MEDIA","BAJA")))</f>
        <v/>
      </c>
      <c r="Y169" s="2">
        <f>IF(OR(H169="",S169=""),"",IF(OR(H169&lt;CONFIG!$B$2,H169&gt;CONFIG!$B$3),"NO APTO",IF(S169&lt;IF(H169&lt;1.6,CONFIG!$B$4,IF(H169&lt;1.7,CONFIG!$B$5,IF(H169&lt;1.8,CONFIG!$B$6,IF(H169&lt;2,CONFIG!$B$7,IF(H169&lt;2.2,CONFIG!$B$8,CONFIG!$B$9))))),"NO APTO",IF(V169&lt;CONFIG!$B$10,"NO APTO",IF(AND(W169&gt;=CONFIG!$B$11,R169&gt;=CONFIG!$B$13),"ALERTA FUERTE",IF(AND(W169&gt;=CONFIG!$B$12,R169&gt;=CONFIG!$B$13),"ALERTA MEDIA","NO APTO"))))))</f>
        <v/>
      </c>
      <c r="Z169" s="2">
        <f>IF(Y169="","",IF(Y169="NO APTO","Revisar cuota/probabilidad/EV/puntuación/muestra",IF(Y169="ALERTA FUERTE","Cumple filtros de cuota + probabilidad + EV + confianza + muestra","Cumple filtros, pero confianza inferior a FUERTE")))</f>
        <v/>
      </c>
    </row>
    <row r="170">
      <c r="A170" s="2">
        <f>IF(E170="","",ROW()-1)</f>
        <v/>
      </c>
      <c r="B170" s="2" t="inlineStr">
        <is>
          <t>2026-08-19</t>
        </is>
      </c>
      <c r="C170" s="2" t="inlineStr">
        <is>
          <t>10:00</t>
        </is>
      </c>
      <c r="D170" s="2" t="inlineStr">
        <is>
          <t>Cup</t>
        </is>
      </c>
      <c r="E170" s="2" t="inlineStr">
        <is>
          <t>Kechnec vs Slávia TU Košice</t>
        </is>
      </c>
      <c r="F170" s="2" t="inlineStr">
        <is>
          <t>PENDIENTE</t>
        </is>
      </c>
      <c r="G170" s="2" t="inlineStr">
        <is>
          <t>SELECCIONAR MERCADO</t>
        </is>
      </c>
      <c r="H170" s="6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2" t="n"/>
      <c r="S170" s="7" t="n"/>
      <c r="T170" s="7">
        <f>IFERROR(1/H170,"")</f>
        <v/>
      </c>
      <c r="U170" s="7">
        <f>IF(OR(S170="",T170=""),"",S170-T170)</f>
        <v/>
      </c>
      <c r="V170" s="7">
        <f>IF(OR(S170="",H170=""),"",S170*H170-1)</f>
        <v/>
      </c>
      <c r="W170" s="2">
        <f>IF(E170="","",ROUND(100*(0.22*I170+0.18*J170+0.18*K170+0.10*L170+0.08*M170+0.06*N170+0.06*O170+0.04*P170+0.04*Q170+0.04*MIN(R170/10,1)),0))</f>
        <v/>
      </c>
      <c r="X170" s="2">
        <f>IF(W170="","",IF(W170&gt;=CONFIG!$B$11,"FUERTE",IF(W170&gt;=CONFIG!$B$12,"MEDIA","BAJA")))</f>
        <v/>
      </c>
      <c r="Y170" s="2">
        <f>IF(OR(H170="",S170=""),"",IF(OR(H170&lt;CONFIG!$B$2,H170&gt;CONFIG!$B$3),"NO APTO",IF(S170&lt;IF(H170&lt;1.6,CONFIG!$B$4,IF(H170&lt;1.7,CONFIG!$B$5,IF(H170&lt;1.8,CONFIG!$B$6,IF(H170&lt;2,CONFIG!$B$7,IF(H170&lt;2.2,CONFIG!$B$8,CONFIG!$B$9))))),"NO APTO",IF(V170&lt;CONFIG!$B$10,"NO APTO",IF(AND(W170&gt;=CONFIG!$B$11,R170&gt;=CONFIG!$B$13),"ALERTA FUERTE",IF(AND(W170&gt;=CONFIG!$B$12,R170&gt;=CONFIG!$B$13),"ALERTA MEDIA","NO APTO"))))))</f>
        <v/>
      </c>
      <c r="Z170" s="2">
        <f>IF(Y170="","",IF(Y170="NO APTO","Revisar cuota/probabilidad/EV/puntuación/muestra",IF(Y170="ALERTA FUERTE","Cumple filtros de cuota + probabilidad + EV + confianza + muestra","Cumple filtros, pero confianza inferior a FUERTE")))</f>
        <v/>
      </c>
    </row>
    <row r="171">
      <c r="A171" s="2">
        <f>IF(E171="","",ROW()-1)</f>
        <v/>
      </c>
      <c r="B171" s="2" t="inlineStr">
        <is>
          <t>2026-08-19</t>
        </is>
      </c>
      <c r="C171" s="2" t="inlineStr">
        <is>
          <t>10:00</t>
        </is>
      </c>
      <c r="D171" s="2" t="inlineStr">
        <is>
          <t>Cup</t>
        </is>
      </c>
      <c r="E171" s="2" t="inlineStr">
        <is>
          <t>Hranovnica vs Harichovce</t>
        </is>
      </c>
      <c r="F171" s="2" t="inlineStr">
        <is>
          <t>PENDIENTE</t>
        </is>
      </c>
      <c r="G171" s="2" t="inlineStr">
        <is>
          <t>SELECCIONAR MERCADO</t>
        </is>
      </c>
      <c r="H171" s="6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2" t="n"/>
      <c r="S171" s="7" t="n"/>
      <c r="T171" s="7">
        <f>IFERROR(1/H171,"")</f>
        <v/>
      </c>
      <c r="U171" s="7">
        <f>IF(OR(S171="",T171=""),"",S171-T171)</f>
        <v/>
      </c>
      <c r="V171" s="7">
        <f>IF(OR(S171="",H171=""),"",S171*H171-1)</f>
        <v/>
      </c>
      <c r="W171" s="2">
        <f>IF(E171="","",ROUND(100*(0.22*I171+0.18*J171+0.18*K171+0.10*L171+0.08*M171+0.06*N171+0.06*O171+0.04*P171+0.04*Q171+0.04*MIN(R171/10,1)),0))</f>
        <v/>
      </c>
      <c r="X171" s="2">
        <f>IF(W171="","",IF(W171&gt;=CONFIG!$B$11,"FUERTE",IF(W171&gt;=CONFIG!$B$12,"MEDIA","BAJA")))</f>
        <v/>
      </c>
      <c r="Y171" s="2">
        <f>IF(OR(H171="",S171=""),"",IF(OR(H171&lt;CONFIG!$B$2,H171&gt;CONFIG!$B$3),"NO APTO",IF(S171&lt;IF(H171&lt;1.6,CONFIG!$B$4,IF(H171&lt;1.7,CONFIG!$B$5,IF(H171&lt;1.8,CONFIG!$B$6,IF(H171&lt;2,CONFIG!$B$7,IF(H171&lt;2.2,CONFIG!$B$8,CONFIG!$B$9))))),"NO APTO",IF(V171&lt;CONFIG!$B$10,"NO APTO",IF(AND(W171&gt;=CONFIG!$B$11,R171&gt;=CONFIG!$B$13),"ALERTA FUERTE",IF(AND(W171&gt;=CONFIG!$B$12,R171&gt;=CONFIG!$B$13),"ALERTA MEDIA","NO APTO"))))))</f>
        <v/>
      </c>
      <c r="Z171" s="2">
        <f>IF(Y171="","",IF(Y171="NO APTO","Revisar cuota/probabilidad/EV/puntuación/muestra",IF(Y171="ALERTA FUERTE","Cumple filtros de cuota + probabilidad + EV + confianza + muestra","Cumple filtros, pero confianza inferior a FUERTE")))</f>
        <v/>
      </c>
    </row>
    <row r="172">
      <c r="A172" s="2">
        <f>IF(E172="","",ROW()-1)</f>
        <v/>
      </c>
      <c r="B172" s="2" t="inlineStr">
        <is>
          <t>2026-08-19</t>
        </is>
      </c>
      <c r="C172" s="2" t="inlineStr">
        <is>
          <t>10:00</t>
        </is>
      </c>
      <c r="D172" s="2" t="inlineStr">
        <is>
          <t>Friendlies Clubs</t>
        </is>
      </c>
      <c r="E172" s="2" t="inlineStr">
        <is>
          <t>Sampdoria U20 vs Sestri Levante</t>
        </is>
      </c>
      <c r="F172" s="2" t="inlineStr">
        <is>
          <t>PENDIENTE</t>
        </is>
      </c>
      <c r="G172" s="2" t="inlineStr">
        <is>
          <t>SELECCIONAR MERCADO</t>
        </is>
      </c>
      <c r="H172" s="6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2" t="n"/>
      <c r="S172" s="7" t="n"/>
      <c r="T172" s="7">
        <f>IFERROR(1/H172,"")</f>
        <v/>
      </c>
      <c r="U172" s="7">
        <f>IF(OR(S172="",T172=""),"",S172-T172)</f>
        <v/>
      </c>
      <c r="V172" s="7">
        <f>IF(OR(S172="",H172=""),"",S172*H172-1)</f>
        <v/>
      </c>
      <c r="W172" s="2">
        <f>IF(E172="","",ROUND(100*(0.22*I172+0.18*J172+0.18*K172+0.10*L172+0.08*M172+0.06*N172+0.06*O172+0.04*P172+0.04*Q172+0.04*MIN(R172/10,1)),0))</f>
        <v/>
      </c>
      <c r="X172" s="2">
        <f>IF(W172="","",IF(W172&gt;=CONFIG!$B$11,"FUERTE",IF(W172&gt;=CONFIG!$B$12,"MEDIA","BAJA")))</f>
        <v/>
      </c>
      <c r="Y172" s="2">
        <f>IF(OR(H172="",S172=""),"",IF(OR(H172&lt;CONFIG!$B$2,H172&gt;CONFIG!$B$3),"NO APTO",IF(S172&lt;IF(H172&lt;1.6,CONFIG!$B$4,IF(H172&lt;1.7,CONFIG!$B$5,IF(H172&lt;1.8,CONFIG!$B$6,IF(H172&lt;2,CONFIG!$B$7,IF(H172&lt;2.2,CONFIG!$B$8,CONFIG!$B$9))))),"NO APTO",IF(V172&lt;CONFIG!$B$10,"NO APTO",IF(AND(W172&gt;=CONFIG!$B$11,R172&gt;=CONFIG!$B$13),"ALERTA FUERTE",IF(AND(W172&gt;=CONFIG!$B$12,R172&gt;=CONFIG!$B$13),"ALERTA MEDIA","NO APTO"))))))</f>
        <v/>
      </c>
      <c r="Z172" s="2">
        <f>IF(Y172="","",IF(Y172="NO APTO","Revisar cuota/probabilidad/EV/puntuación/muestra",IF(Y172="ALERTA FUERTE","Cumple filtros de cuota + probabilidad + EV + confianza + muestra","Cumple filtros, pero confianza inferior a FUERTE")))</f>
        <v/>
      </c>
    </row>
    <row r="173">
      <c r="A173" s="2">
        <f>IF(E173="","",ROW()-1)</f>
        <v/>
      </c>
      <c r="B173" s="2" t="inlineStr">
        <is>
          <t>2026-08-19</t>
        </is>
      </c>
      <c r="C173" s="2" t="inlineStr">
        <is>
          <t>10:15</t>
        </is>
      </c>
      <c r="D173" s="2" t="inlineStr">
        <is>
          <t>Cup</t>
        </is>
      </c>
      <c r="E173" s="2" t="inlineStr">
        <is>
          <t>Slovan Tomášovce vs Komárno</t>
        </is>
      </c>
      <c r="F173" s="2" t="inlineStr">
        <is>
          <t>PENDIENTE</t>
        </is>
      </c>
      <c r="G173" s="2" t="inlineStr">
        <is>
          <t>SELECCIONAR MERCADO</t>
        </is>
      </c>
      <c r="H173" s="6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2" t="n"/>
      <c r="S173" s="7" t="n"/>
      <c r="T173" s="7">
        <f>IFERROR(1/H173,"")</f>
        <v/>
      </c>
      <c r="U173" s="7">
        <f>IF(OR(S173="",T173=""),"",S173-T173)</f>
        <v/>
      </c>
      <c r="V173" s="7">
        <f>IF(OR(S173="",H173=""),"",S173*H173-1)</f>
        <v/>
      </c>
      <c r="W173" s="2">
        <f>IF(E173="","",ROUND(100*(0.22*I173+0.18*J173+0.18*K173+0.10*L173+0.08*M173+0.06*N173+0.06*O173+0.04*P173+0.04*Q173+0.04*MIN(R173/10,1)),0))</f>
        <v/>
      </c>
      <c r="X173" s="2">
        <f>IF(W173="","",IF(W173&gt;=CONFIG!$B$11,"FUERTE",IF(W173&gt;=CONFIG!$B$12,"MEDIA","BAJA")))</f>
        <v/>
      </c>
      <c r="Y173" s="2">
        <f>IF(OR(H173="",S173=""),"",IF(OR(H173&lt;CONFIG!$B$2,H173&gt;CONFIG!$B$3),"NO APTO",IF(S173&lt;IF(H173&lt;1.6,CONFIG!$B$4,IF(H173&lt;1.7,CONFIG!$B$5,IF(H173&lt;1.8,CONFIG!$B$6,IF(H173&lt;2,CONFIG!$B$7,IF(H173&lt;2.2,CONFIG!$B$8,CONFIG!$B$9))))),"NO APTO",IF(V173&lt;CONFIG!$B$10,"NO APTO",IF(AND(W173&gt;=CONFIG!$B$11,R173&gt;=CONFIG!$B$13),"ALERTA FUERTE",IF(AND(W173&gt;=CONFIG!$B$12,R173&gt;=CONFIG!$B$13),"ALERTA MEDIA","NO APTO"))))))</f>
        <v/>
      </c>
      <c r="Z173" s="2">
        <f>IF(Y173="","",IF(Y173="NO APTO","Revisar cuota/probabilidad/EV/puntuación/muestra",IF(Y173="ALERTA FUERTE","Cumple filtros de cuota + probabilidad + EV + confianza + muestra","Cumple filtros, pero confianza inferior a FUERTE")))</f>
        <v/>
      </c>
    </row>
    <row r="174">
      <c r="A174" s="2">
        <f>IF(E174="","",ROW()-1)</f>
        <v/>
      </c>
      <c r="B174" s="2" t="inlineStr">
        <is>
          <t>2026-08-19</t>
        </is>
      </c>
      <c r="C174" s="2" t="inlineStr">
        <is>
          <t>10:30</t>
        </is>
      </c>
      <c r="D174" s="2" t="inlineStr">
        <is>
          <t>Cup</t>
        </is>
      </c>
      <c r="E174" s="2" t="inlineStr">
        <is>
          <t>Rubin vs Spartak Moscow</t>
        </is>
      </c>
      <c r="F174" s="2" t="inlineStr">
        <is>
          <t>PENDIENTE</t>
        </is>
      </c>
      <c r="G174" s="2" t="inlineStr">
        <is>
          <t>SELECCIONAR MERCADO</t>
        </is>
      </c>
      <c r="H174" s="6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2" t="n"/>
      <c r="S174" s="7" t="n"/>
      <c r="T174" s="7">
        <f>IFERROR(1/H174,"")</f>
        <v/>
      </c>
      <c r="U174" s="7">
        <f>IF(OR(S174="",T174=""),"",S174-T174)</f>
        <v/>
      </c>
      <c r="V174" s="7">
        <f>IF(OR(S174="",H174=""),"",S174*H174-1)</f>
        <v/>
      </c>
      <c r="W174" s="2">
        <f>IF(E174="","",ROUND(100*(0.22*I174+0.18*J174+0.18*K174+0.10*L174+0.08*M174+0.06*N174+0.06*O174+0.04*P174+0.04*Q174+0.04*MIN(R174/10,1)),0))</f>
        <v/>
      </c>
      <c r="X174" s="2">
        <f>IF(W174="","",IF(W174&gt;=CONFIG!$B$11,"FUERTE",IF(W174&gt;=CONFIG!$B$12,"MEDIA","BAJA")))</f>
        <v/>
      </c>
      <c r="Y174" s="2">
        <f>IF(OR(H174="",S174=""),"",IF(OR(H174&lt;CONFIG!$B$2,H174&gt;CONFIG!$B$3),"NO APTO",IF(S174&lt;IF(H174&lt;1.6,CONFIG!$B$4,IF(H174&lt;1.7,CONFIG!$B$5,IF(H174&lt;1.8,CONFIG!$B$6,IF(H174&lt;2,CONFIG!$B$7,IF(H174&lt;2.2,CONFIG!$B$8,CONFIG!$B$9))))),"NO APTO",IF(V174&lt;CONFIG!$B$10,"NO APTO",IF(AND(W174&gt;=CONFIG!$B$11,R174&gt;=CONFIG!$B$13),"ALERTA FUERTE",IF(AND(W174&gt;=CONFIG!$B$12,R174&gt;=CONFIG!$B$13),"ALERTA MEDIA","NO APTO"))))))</f>
        <v/>
      </c>
      <c r="Z174" s="2">
        <f>IF(Y174="","",IF(Y174="NO APTO","Revisar cuota/probabilidad/EV/puntuación/muestra",IF(Y174="ALERTA FUERTE","Cumple filtros de cuota + probabilidad + EV + confianza + muestra","Cumple filtros, pero confianza inferior a FUERTE")))</f>
        <v/>
      </c>
    </row>
    <row r="175">
      <c r="A175" s="2">
        <f>IF(E175="","",ROW()-1)</f>
        <v/>
      </c>
      <c r="B175" s="2" t="inlineStr">
        <is>
          <t>2026-08-19</t>
        </is>
      </c>
      <c r="C175" s="2" t="inlineStr">
        <is>
          <t>10:30</t>
        </is>
      </c>
      <c r="D175" s="2" t="inlineStr">
        <is>
          <t>III Liga - Group 2</t>
        </is>
      </c>
      <c r="E175" s="2" t="inlineStr">
        <is>
          <t>Kluczevia Stargard vs Gedania Gdansk</t>
        </is>
      </c>
      <c r="F175" s="2" t="inlineStr">
        <is>
          <t>PENDIENTE</t>
        </is>
      </c>
      <c r="G175" s="2" t="inlineStr">
        <is>
          <t>SELECCIONAR MERCADO</t>
        </is>
      </c>
      <c r="H175" s="6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2" t="n"/>
      <c r="S175" s="7" t="n"/>
      <c r="T175" s="7">
        <f>IFERROR(1/H175,"")</f>
        <v/>
      </c>
      <c r="U175" s="7">
        <f>IF(OR(S175="",T175=""),"",S175-T175)</f>
        <v/>
      </c>
      <c r="V175" s="7">
        <f>IF(OR(S175="",H175=""),"",S175*H175-1)</f>
        <v/>
      </c>
      <c r="W175" s="2">
        <f>IF(E175="","",ROUND(100*(0.22*I175+0.18*J175+0.18*K175+0.10*L175+0.08*M175+0.06*N175+0.06*O175+0.04*P175+0.04*Q175+0.04*MIN(R175/10,1)),0))</f>
        <v/>
      </c>
      <c r="X175" s="2">
        <f>IF(W175="","",IF(W175&gt;=CONFIG!$B$11,"FUERTE",IF(W175&gt;=CONFIG!$B$12,"MEDIA","BAJA")))</f>
        <v/>
      </c>
      <c r="Y175" s="2">
        <f>IF(OR(H175="",S175=""),"",IF(OR(H175&lt;CONFIG!$B$2,H175&gt;CONFIG!$B$3),"NO APTO",IF(S175&lt;IF(H175&lt;1.6,CONFIG!$B$4,IF(H175&lt;1.7,CONFIG!$B$5,IF(H175&lt;1.8,CONFIG!$B$6,IF(H175&lt;2,CONFIG!$B$7,IF(H175&lt;2.2,CONFIG!$B$8,CONFIG!$B$9))))),"NO APTO",IF(V175&lt;CONFIG!$B$10,"NO APTO",IF(AND(W175&gt;=CONFIG!$B$11,R175&gt;=CONFIG!$B$13),"ALERTA FUERTE",IF(AND(W175&gt;=CONFIG!$B$12,R175&gt;=CONFIG!$B$13),"ALERTA MEDIA","NO APTO"))))))</f>
        <v/>
      </c>
      <c r="Z175" s="2">
        <f>IF(Y175="","",IF(Y175="NO APTO","Revisar cuota/probabilidad/EV/puntuación/muestra",IF(Y175="ALERTA FUERTE","Cumple filtros de cuota + probabilidad + EV + confianza + muestra","Cumple filtros, pero confianza inferior a FUERTE")))</f>
        <v/>
      </c>
    </row>
    <row r="176">
      <c r="A176" s="2">
        <f>IF(E176="","",ROW()-1)</f>
        <v/>
      </c>
      <c r="B176" s="2" t="inlineStr">
        <is>
          <t>2026-08-19</t>
        </is>
      </c>
      <c r="C176" s="2" t="inlineStr">
        <is>
          <t>10:30</t>
        </is>
      </c>
      <c r="D176" s="2" t="inlineStr">
        <is>
          <t>III Liga - Group 1</t>
        </is>
      </c>
      <c r="E176" s="2" t="inlineStr">
        <is>
          <t>Swit vs Mazovia Minsk Mazowiecki</t>
        </is>
      </c>
      <c r="F176" s="2" t="inlineStr">
        <is>
          <t>PENDIENTE</t>
        </is>
      </c>
      <c r="G176" s="2" t="inlineStr">
        <is>
          <t>SELECCIONAR MERCADO</t>
        </is>
      </c>
      <c r="H176" s="6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2" t="n"/>
      <c r="S176" s="7" t="n"/>
      <c r="T176" s="7">
        <f>IFERROR(1/H176,"")</f>
        <v/>
      </c>
      <c r="U176" s="7">
        <f>IF(OR(S176="",T176=""),"",S176-T176)</f>
        <v/>
      </c>
      <c r="V176" s="7">
        <f>IF(OR(S176="",H176=""),"",S176*H176-1)</f>
        <v/>
      </c>
      <c r="W176" s="2">
        <f>IF(E176="","",ROUND(100*(0.22*I176+0.18*J176+0.18*K176+0.10*L176+0.08*M176+0.06*N176+0.06*O176+0.04*P176+0.04*Q176+0.04*MIN(R176/10,1)),0))</f>
        <v/>
      </c>
      <c r="X176" s="2">
        <f>IF(W176="","",IF(W176&gt;=CONFIG!$B$11,"FUERTE",IF(W176&gt;=CONFIG!$B$12,"MEDIA","BAJA")))</f>
        <v/>
      </c>
      <c r="Y176" s="2">
        <f>IF(OR(H176="",S176=""),"",IF(OR(H176&lt;CONFIG!$B$2,H176&gt;CONFIG!$B$3),"NO APTO",IF(S176&lt;IF(H176&lt;1.6,CONFIG!$B$4,IF(H176&lt;1.7,CONFIG!$B$5,IF(H176&lt;1.8,CONFIG!$B$6,IF(H176&lt;2,CONFIG!$B$7,IF(H176&lt;2.2,CONFIG!$B$8,CONFIG!$B$9))))),"NO APTO",IF(V176&lt;CONFIG!$B$10,"NO APTO",IF(AND(W176&gt;=CONFIG!$B$11,R176&gt;=CONFIG!$B$13),"ALERTA FUERTE",IF(AND(W176&gt;=CONFIG!$B$12,R176&gt;=CONFIG!$B$13),"ALERTA MEDIA","NO APTO"))))))</f>
        <v/>
      </c>
      <c r="Z176" s="2">
        <f>IF(Y176="","",IF(Y176="NO APTO","Revisar cuota/probabilidad/EV/puntuación/muestra",IF(Y176="ALERTA FUERTE","Cumple filtros de cuota + probabilidad + EV + confianza + muestra","Cumple filtros, pero confianza inferior a FUERTE")))</f>
        <v/>
      </c>
    </row>
    <row r="177">
      <c r="A177" s="2">
        <f>IF(E177="","",ROW()-1)</f>
        <v/>
      </c>
      <c r="B177" s="2" t="inlineStr">
        <is>
          <t>2026-08-19</t>
        </is>
      </c>
      <c r="C177" s="2" t="inlineStr">
        <is>
          <t>10:30</t>
        </is>
      </c>
      <c r="D177" s="2" t="inlineStr">
        <is>
          <t>NB III - Northeast</t>
        </is>
      </c>
      <c r="E177" s="2" t="inlineStr">
        <is>
          <t>Diósgyőr II vs Debrecen II</t>
        </is>
      </c>
      <c r="F177" s="2" t="inlineStr">
        <is>
          <t>PENDIENTE</t>
        </is>
      </c>
      <c r="G177" s="2" t="inlineStr">
        <is>
          <t>SELECCIONAR MERCADO</t>
        </is>
      </c>
      <c r="H177" s="6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2" t="n"/>
      <c r="S177" s="7" t="n"/>
      <c r="T177" s="7">
        <f>IFERROR(1/H177,"")</f>
        <v/>
      </c>
      <c r="U177" s="7">
        <f>IF(OR(S177="",T177=""),"",S177-T177)</f>
        <v/>
      </c>
      <c r="V177" s="7">
        <f>IF(OR(S177="",H177=""),"",S177*H177-1)</f>
        <v/>
      </c>
      <c r="W177" s="2">
        <f>IF(E177="","",ROUND(100*(0.22*I177+0.18*J177+0.18*K177+0.10*L177+0.08*M177+0.06*N177+0.06*O177+0.04*P177+0.04*Q177+0.04*MIN(R177/10,1)),0))</f>
        <v/>
      </c>
      <c r="X177" s="2">
        <f>IF(W177="","",IF(W177&gt;=CONFIG!$B$11,"FUERTE",IF(W177&gt;=CONFIG!$B$12,"MEDIA","BAJA")))</f>
        <v/>
      </c>
      <c r="Y177" s="2">
        <f>IF(OR(H177="",S177=""),"",IF(OR(H177&lt;CONFIG!$B$2,H177&gt;CONFIG!$B$3),"NO APTO",IF(S177&lt;IF(H177&lt;1.6,CONFIG!$B$4,IF(H177&lt;1.7,CONFIG!$B$5,IF(H177&lt;1.8,CONFIG!$B$6,IF(H177&lt;2,CONFIG!$B$7,IF(H177&lt;2.2,CONFIG!$B$8,CONFIG!$B$9))))),"NO APTO",IF(V177&lt;CONFIG!$B$10,"NO APTO",IF(AND(W177&gt;=CONFIG!$B$11,R177&gt;=CONFIG!$B$13),"ALERTA FUERTE",IF(AND(W177&gt;=CONFIG!$B$12,R177&gt;=CONFIG!$B$13),"ALERTA MEDIA","NO APTO"))))))</f>
        <v/>
      </c>
      <c r="Z177" s="2">
        <f>IF(Y177="","",IF(Y177="NO APTO","Revisar cuota/probabilidad/EV/puntuación/muestra",IF(Y177="ALERTA FUERTE","Cumple filtros de cuota + probabilidad + EV + confianza + muestra","Cumple filtros, pero confianza inferior a FUERTE")))</f>
        <v/>
      </c>
    </row>
    <row r="178">
      <c r="A178" s="2">
        <f>IF(E178="","",ROW()-1)</f>
        <v/>
      </c>
      <c r="B178" s="2" t="inlineStr">
        <is>
          <t>2026-08-19</t>
        </is>
      </c>
      <c r="C178" s="2" t="inlineStr">
        <is>
          <t>10:30</t>
        </is>
      </c>
      <c r="D178" s="2" t="inlineStr">
        <is>
          <t>Cup</t>
        </is>
      </c>
      <c r="E178" s="2" t="inlineStr">
        <is>
          <t>Kozlovice vs Slavičín</t>
        </is>
      </c>
      <c r="F178" s="2" t="inlineStr">
        <is>
          <t>PENDIENTE</t>
        </is>
      </c>
      <c r="G178" s="2" t="inlineStr">
        <is>
          <t>SELECCIONAR MERCADO</t>
        </is>
      </c>
      <c r="H178" s="6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2" t="n"/>
      <c r="S178" s="7" t="n"/>
      <c r="T178" s="7">
        <f>IFERROR(1/H178,"")</f>
        <v/>
      </c>
      <c r="U178" s="7">
        <f>IF(OR(S178="",T178=""),"",S178-T178)</f>
        <v/>
      </c>
      <c r="V178" s="7">
        <f>IF(OR(S178="",H178=""),"",S178*H178-1)</f>
        <v/>
      </c>
      <c r="W178" s="2">
        <f>IF(E178="","",ROUND(100*(0.22*I178+0.18*J178+0.18*K178+0.10*L178+0.08*M178+0.06*N178+0.06*O178+0.04*P178+0.04*Q178+0.04*MIN(R178/10,1)),0))</f>
        <v/>
      </c>
      <c r="X178" s="2">
        <f>IF(W178="","",IF(W178&gt;=CONFIG!$B$11,"FUERTE",IF(W178&gt;=CONFIG!$B$12,"MEDIA","BAJA")))</f>
        <v/>
      </c>
      <c r="Y178" s="2">
        <f>IF(OR(H178="",S178=""),"",IF(OR(H178&lt;CONFIG!$B$2,H178&gt;CONFIG!$B$3),"NO APTO",IF(S178&lt;IF(H178&lt;1.6,CONFIG!$B$4,IF(H178&lt;1.7,CONFIG!$B$5,IF(H178&lt;1.8,CONFIG!$B$6,IF(H178&lt;2,CONFIG!$B$7,IF(H178&lt;2.2,CONFIG!$B$8,CONFIG!$B$9))))),"NO APTO",IF(V178&lt;CONFIG!$B$10,"NO APTO",IF(AND(W178&gt;=CONFIG!$B$11,R178&gt;=CONFIG!$B$13),"ALERTA FUERTE",IF(AND(W178&gt;=CONFIG!$B$12,R178&gt;=CONFIG!$B$13),"ALERTA MEDIA","NO APTO"))))))</f>
        <v/>
      </c>
      <c r="Z178" s="2">
        <f>IF(Y178="","",IF(Y178="NO APTO","Revisar cuota/probabilidad/EV/puntuación/muestra",IF(Y178="ALERTA FUERTE","Cumple filtros de cuota + probabilidad + EV + confianza + muestra","Cumple filtros, pero confianza inferior a FUERTE")))</f>
        <v/>
      </c>
    </row>
    <row r="179">
      <c r="A179" s="2">
        <f>IF(E179="","",ROW()-1)</f>
        <v/>
      </c>
      <c r="B179" s="2" t="inlineStr">
        <is>
          <t>2026-08-19</t>
        </is>
      </c>
      <c r="C179" s="2" t="inlineStr">
        <is>
          <t>11:00</t>
        </is>
      </c>
      <c r="D179" s="2" t="inlineStr">
        <is>
          <t>Toppserien</t>
        </is>
      </c>
      <c r="E179" s="2" t="inlineStr">
        <is>
          <t>Vålerenga W vs Hønefoss W</t>
        </is>
      </c>
      <c r="F179" s="2" t="inlineStr">
        <is>
          <t>PENDIENTE</t>
        </is>
      </c>
      <c r="G179" s="2" t="inlineStr">
        <is>
          <t>SELECCIONAR MERCADO</t>
        </is>
      </c>
      <c r="H179" s="6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2" t="n"/>
      <c r="S179" s="7" t="n"/>
      <c r="T179" s="7">
        <f>IFERROR(1/H179,"")</f>
        <v/>
      </c>
      <c r="U179" s="7">
        <f>IF(OR(S179="",T179=""),"",S179-T179)</f>
        <v/>
      </c>
      <c r="V179" s="7">
        <f>IF(OR(S179="",H179=""),"",S179*H179-1)</f>
        <v/>
      </c>
      <c r="W179" s="2">
        <f>IF(E179="","",ROUND(100*(0.22*I179+0.18*J179+0.18*K179+0.10*L179+0.08*M179+0.06*N179+0.06*O179+0.04*P179+0.04*Q179+0.04*MIN(R179/10,1)),0))</f>
        <v/>
      </c>
      <c r="X179" s="2">
        <f>IF(W179="","",IF(W179&gt;=CONFIG!$B$11,"FUERTE",IF(W179&gt;=CONFIG!$B$12,"MEDIA","BAJA")))</f>
        <v/>
      </c>
      <c r="Y179" s="2">
        <f>IF(OR(H179="",S179=""),"",IF(OR(H179&lt;CONFIG!$B$2,H179&gt;CONFIG!$B$3),"NO APTO",IF(S179&lt;IF(H179&lt;1.6,CONFIG!$B$4,IF(H179&lt;1.7,CONFIG!$B$5,IF(H179&lt;1.8,CONFIG!$B$6,IF(H179&lt;2,CONFIG!$B$7,IF(H179&lt;2.2,CONFIG!$B$8,CONFIG!$B$9))))),"NO APTO",IF(V179&lt;CONFIG!$B$10,"NO APTO",IF(AND(W179&gt;=CONFIG!$B$11,R179&gt;=CONFIG!$B$13),"ALERTA FUERTE",IF(AND(W179&gt;=CONFIG!$B$12,R179&gt;=CONFIG!$B$13),"ALERTA MEDIA","NO APTO"))))))</f>
        <v/>
      </c>
      <c r="Z179" s="2">
        <f>IF(Y179="","",IF(Y179="NO APTO","Revisar cuota/probabilidad/EV/puntuación/muestra",IF(Y179="ALERTA FUERTE","Cumple filtros de cuota + probabilidad + EV + confianza + muestra","Cumple filtros, pero confianza inferior a FUERTE")))</f>
        <v/>
      </c>
    </row>
    <row r="180">
      <c r="A180" s="2">
        <f>IF(E180="","",ROW()-1)</f>
        <v/>
      </c>
      <c r="B180" s="2" t="inlineStr">
        <is>
          <t>2026-08-19</t>
        </is>
      </c>
      <c r="C180" s="2" t="inlineStr">
        <is>
          <t>11:00</t>
        </is>
      </c>
      <c r="D180" s="2" t="inlineStr">
        <is>
          <t>Esiliiga B</t>
        </is>
      </c>
      <c r="E180" s="2" t="inlineStr">
        <is>
          <t>Levadia U19 vs Narva U21</t>
        </is>
      </c>
      <c r="F180" s="2" t="inlineStr">
        <is>
          <t>PENDIENTE</t>
        </is>
      </c>
      <c r="G180" s="2" t="inlineStr">
        <is>
          <t>SELECCIONAR MERCADO</t>
        </is>
      </c>
      <c r="H180" s="6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2" t="n"/>
      <c r="S180" s="7" t="n"/>
      <c r="T180" s="7">
        <f>IFERROR(1/H180,"")</f>
        <v/>
      </c>
      <c r="U180" s="7">
        <f>IF(OR(S180="",T180=""),"",S180-T180)</f>
        <v/>
      </c>
      <c r="V180" s="7">
        <f>IF(OR(S180="",H180=""),"",S180*H180-1)</f>
        <v/>
      </c>
      <c r="W180" s="2">
        <f>IF(E180="","",ROUND(100*(0.22*I180+0.18*J180+0.18*K180+0.10*L180+0.08*M180+0.06*N180+0.06*O180+0.04*P180+0.04*Q180+0.04*MIN(R180/10,1)),0))</f>
        <v/>
      </c>
      <c r="X180" s="2">
        <f>IF(W180="","",IF(W180&gt;=CONFIG!$B$11,"FUERTE",IF(W180&gt;=CONFIG!$B$12,"MEDIA","BAJA")))</f>
        <v/>
      </c>
      <c r="Y180" s="2">
        <f>IF(OR(H180="",S180=""),"",IF(OR(H180&lt;CONFIG!$B$2,H180&gt;CONFIG!$B$3),"NO APTO",IF(S180&lt;IF(H180&lt;1.6,CONFIG!$B$4,IF(H180&lt;1.7,CONFIG!$B$5,IF(H180&lt;1.8,CONFIG!$B$6,IF(H180&lt;2,CONFIG!$B$7,IF(H180&lt;2.2,CONFIG!$B$8,CONFIG!$B$9))))),"NO APTO",IF(V180&lt;CONFIG!$B$10,"NO APTO",IF(AND(W180&gt;=CONFIG!$B$11,R180&gt;=CONFIG!$B$13),"ALERTA FUERTE",IF(AND(W180&gt;=CONFIG!$B$12,R180&gt;=CONFIG!$B$13),"ALERTA MEDIA","NO APTO"))))))</f>
        <v/>
      </c>
      <c r="Z180" s="2">
        <f>IF(Y180="","",IF(Y180="NO APTO","Revisar cuota/probabilidad/EV/puntuación/muestra",IF(Y180="ALERTA FUERTE","Cumple filtros de cuota + probabilidad + EV + confianza + muestra","Cumple filtros, pero confianza inferior a FUERTE")))</f>
        <v/>
      </c>
    </row>
    <row r="181">
      <c r="A181" s="2">
        <f>IF(E181="","",ROW()-1)</f>
        <v/>
      </c>
      <c r="B181" s="2" t="inlineStr">
        <is>
          <t>2026-08-19</t>
        </is>
      </c>
      <c r="C181" s="2" t="inlineStr">
        <is>
          <t>11:00</t>
        </is>
      </c>
      <c r="D181" s="2" t="inlineStr">
        <is>
          <t>Premier League</t>
        </is>
      </c>
      <c r="E181" s="2" t="inlineStr">
        <is>
          <t>ML Vitebsk vs Baranovichi</t>
        </is>
      </c>
      <c r="F181" s="2" t="inlineStr">
        <is>
          <t>PENDIENTE</t>
        </is>
      </c>
      <c r="G181" s="2" t="inlineStr">
        <is>
          <t>SELECCIONAR MERCADO</t>
        </is>
      </c>
      <c r="H181" s="6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2" t="n"/>
      <c r="S181" s="7" t="n"/>
      <c r="T181" s="7">
        <f>IFERROR(1/H181,"")</f>
        <v/>
      </c>
      <c r="U181" s="7">
        <f>IF(OR(S181="",T181=""),"",S181-T181)</f>
        <v/>
      </c>
      <c r="V181" s="7">
        <f>IF(OR(S181="",H181=""),"",S181*H181-1)</f>
        <v/>
      </c>
      <c r="W181" s="2">
        <f>IF(E181="","",ROUND(100*(0.22*I181+0.18*J181+0.18*K181+0.10*L181+0.08*M181+0.06*N181+0.06*O181+0.04*P181+0.04*Q181+0.04*MIN(R181/10,1)),0))</f>
        <v/>
      </c>
      <c r="X181" s="2">
        <f>IF(W181="","",IF(W181&gt;=CONFIG!$B$11,"FUERTE",IF(W181&gt;=CONFIG!$B$12,"MEDIA","BAJA")))</f>
        <v/>
      </c>
      <c r="Y181" s="2">
        <f>IF(OR(H181="",S181=""),"",IF(OR(H181&lt;CONFIG!$B$2,H181&gt;CONFIG!$B$3),"NO APTO",IF(S181&lt;IF(H181&lt;1.6,CONFIG!$B$4,IF(H181&lt;1.7,CONFIG!$B$5,IF(H181&lt;1.8,CONFIG!$B$6,IF(H181&lt;2,CONFIG!$B$7,IF(H181&lt;2.2,CONFIG!$B$8,CONFIG!$B$9))))),"NO APTO",IF(V181&lt;CONFIG!$B$10,"NO APTO",IF(AND(W181&gt;=CONFIG!$B$11,R181&gt;=CONFIG!$B$13),"ALERTA FUERTE",IF(AND(W181&gt;=CONFIG!$B$12,R181&gt;=CONFIG!$B$13),"ALERTA MEDIA","NO APTO"))))))</f>
        <v/>
      </c>
      <c r="Z181" s="2">
        <f>IF(Y181="","",IF(Y181="NO APTO","Revisar cuota/probabilidad/EV/puntuación/muestra",IF(Y181="ALERTA FUERTE","Cumple filtros de cuota + probabilidad + EV + confianza + muestra","Cumple filtros, pero confianza inferior a FUERTE")))</f>
        <v/>
      </c>
    </row>
    <row r="182">
      <c r="A182" s="2">
        <f>IF(E182="","",ROW()-1)</f>
        <v/>
      </c>
      <c r="B182" s="2" t="inlineStr">
        <is>
          <t>2026-08-19</t>
        </is>
      </c>
      <c r="C182" s="2" t="inlineStr">
        <is>
          <t>11:00</t>
        </is>
      </c>
      <c r="D182" s="2" t="inlineStr">
        <is>
          <t>Svenska Cupen</t>
        </is>
      </c>
      <c r="E182" s="2" t="inlineStr">
        <is>
          <t>Växjö Norra vs IFK Varnamo</t>
        </is>
      </c>
      <c r="F182" s="2" t="inlineStr">
        <is>
          <t>PENDIENTE</t>
        </is>
      </c>
      <c r="G182" s="2" t="inlineStr">
        <is>
          <t>SELECCIONAR MERCADO</t>
        </is>
      </c>
      <c r="H182" s="6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2" t="n"/>
      <c r="S182" s="7" t="n"/>
      <c r="T182" s="7">
        <f>IFERROR(1/H182,"")</f>
        <v/>
      </c>
      <c r="U182" s="7">
        <f>IF(OR(S182="",T182=""),"",S182-T182)</f>
        <v/>
      </c>
      <c r="V182" s="7">
        <f>IF(OR(S182="",H182=""),"",S182*H182-1)</f>
        <v/>
      </c>
      <c r="W182" s="2">
        <f>IF(E182="","",ROUND(100*(0.22*I182+0.18*J182+0.18*K182+0.10*L182+0.08*M182+0.06*N182+0.06*O182+0.04*P182+0.04*Q182+0.04*MIN(R182/10,1)),0))</f>
        <v/>
      </c>
      <c r="X182" s="2">
        <f>IF(W182="","",IF(W182&gt;=CONFIG!$B$11,"FUERTE",IF(W182&gt;=CONFIG!$B$12,"MEDIA","BAJA")))</f>
        <v/>
      </c>
      <c r="Y182" s="2">
        <f>IF(OR(H182="",S182=""),"",IF(OR(H182&lt;CONFIG!$B$2,H182&gt;CONFIG!$B$3),"NO APTO",IF(S182&lt;IF(H182&lt;1.6,CONFIG!$B$4,IF(H182&lt;1.7,CONFIG!$B$5,IF(H182&lt;1.8,CONFIG!$B$6,IF(H182&lt;2,CONFIG!$B$7,IF(H182&lt;2.2,CONFIG!$B$8,CONFIG!$B$9))))),"NO APTO",IF(V182&lt;CONFIG!$B$10,"NO APTO",IF(AND(W182&gt;=CONFIG!$B$11,R182&gt;=CONFIG!$B$13),"ALERTA FUERTE",IF(AND(W182&gt;=CONFIG!$B$12,R182&gt;=CONFIG!$B$13),"ALERTA MEDIA","NO APTO"))))))</f>
        <v/>
      </c>
      <c r="Z182" s="2">
        <f>IF(Y182="","",IF(Y182="NO APTO","Revisar cuota/probabilidad/EV/puntuación/muestra",IF(Y182="ALERTA FUERTE","Cumple filtros de cuota + probabilidad + EV + confianza + muestra","Cumple filtros, pero confianza inferior a FUERTE")))</f>
        <v/>
      </c>
    </row>
    <row r="183">
      <c r="A183" s="2">
        <f>IF(E183="","",ROW()-1)</f>
        <v/>
      </c>
      <c r="B183" s="2" t="inlineStr">
        <is>
          <t>2026-08-19</t>
        </is>
      </c>
      <c r="C183" s="2" t="inlineStr">
        <is>
          <t>11:00</t>
        </is>
      </c>
      <c r="D183" s="2" t="inlineStr">
        <is>
          <t>Torneo Promocional Amateur</t>
        </is>
      </c>
      <c r="E183" s="2" t="inlineStr">
        <is>
          <t>Juventud de Bernal vs SAT Moreno</t>
        </is>
      </c>
      <c r="F183" s="2" t="inlineStr">
        <is>
          <t>PENDIENTE</t>
        </is>
      </c>
      <c r="G183" s="2" t="inlineStr">
        <is>
          <t>SELECCIONAR MERCADO</t>
        </is>
      </c>
      <c r="H183" s="6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2" t="n"/>
      <c r="S183" s="7" t="n"/>
      <c r="T183" s="7">
        <f>IFERROR(1/H183,"")</f>
        <v/>
      </c>
      <c r="U183" s="7">
        <f>IF(OR(S183="",T183=""),"",S183-T183)</f>
        <v/>
      </c>
      <c r="V183" s="7">
        <f>IF(OR(S183="",H183=""),"",S183*H183-1)</f>
        <v/>
      </c>
      <c r="W183" s="2">
        <f>IF(E183="","",ROUND(100*(0.22*I183+0.18*J183+0.18*K183+0.10*L183+0.08*M183+0.06*N183+0.06*O183+0.04*P183+0.04*Q183+0.04*MIN(R183/10,1)),0))</f>
        <v/>
      </c>
      <c r="X183" s="2">
        <f>IF(W183="","",IF(W183&gt;=CONFIG!$B$11,"FUERTE",IF(W183&gt;=CONFIG!$B$12,"MEDIA","BAJA")))</f>
        <v/>
      </c>
      <c r="Y183" s="2">
        <f>IF(OR(H183="",S183=""),"",IF(OR(H183&lt;CONFIG!$B$2,H183&gt;CONFIG!$B$3),"NO APTO",IF(S183&lt;IF(H183&lt;1.6,CONFIG!$B$4,IF(H183&lt;1.7,CONFIG!$B$5,IF(H183&lt;1.8,CONFIG!$B$6,IF(H183&lt;2,CONFIG!$B$7,IF(H183&lt;2.2,CONFIG!$B$8,CONFIG!$B$9))))),"NO APTO",IF(V183&lt;CONFIG!$B$10,"NO APTO",IF(AND(W183&gt;=CONFIG!$B$11,R183&gt;=CONFIG!$B$13),"ALERTA FUERTE",IF(AND(W183&gt;=CONFIG!$B$12,R183&gt;=CONFIG!$B$13),"ALERTA MEDIA","NO APTO"))))))</f>
        <v/>
      </c>
      <c r="Z183" s="2">
        <f>IF(Y183="","",IF(Y183="NO APTO","Revisar cuota/probabilidad/EV/puntuación/muestra",IF(Y183="ALERTA FUERTE","Cumple filtros de cuota + probabilidad + EV + confianza + muestra","Cumple filtros, pero confianza inferior a FUERTE")))</f>
        <v/>
      </c>
    </row>
    <row r="184">
      <c r="A184" s="2">
        <f>IF(E184="","",ROW()-1)</f>
        <v/>
      </c>
      <c r="B184" s="2" t="inlineStr">
        <is>
          <t>2026-08-19</t>
        </is>
      </c>
      <c r="C184" s="2" t="inlineStr">
        <is>
          <t>11:00</t>
        </is>
      </c>
      <c r="D184" s="2" t="inlineStr">
        <is>
          <t>III Liga - Group 4</t>
        </is>
      </c>
      <c r="E184" s="2" t="inlineStr">
        <is>
          <t>Star Starachowice vs Czarni Połaniec</t>
        </is>
      </c>
      <c r="F184" s="2" t="inlineStr">
        <is>
          <t>PENDIENTE</t>
        </is>
      </c>
      <c r="G184" s="2" t="inlineStr">
        <is>
          <t>SELECCIONAR MERCADO</t>
        </is>
      </c>
      <c r="H184" s="6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2" t="n"/>
      <c r="S184" s="7" t="n"/>
      <c r="T184" s="7">
        <f>IFERROR(1/H184,"")</f>
        <v/>
      </c>
      <c r="U184" s="7">
        <f>IF(OR(S184="",T184=""),"",S184-T184)</f>
        <v/>
      </c>
      <c r="V184" s="7">
        <f>IF(OR(S184="",H184=""),"",S184*H184-1)</f>
        <v/>
      </c>
      <c r="W184" s="2">
        <f>IF(E184="","",ROUND(100*(0.22*I184+0.18*J184+0.18*K184+0.10*L184+0.08*M184+0.06*N184+0.06*O184+0.04*P184+0.04*Q184+0.04*MIN(R184/10,1)),0))</f>
        <v/>
      </c>
      <c r="X184" s="2">
        <f>IF(W184="","",IF(W184&gt;=CONFIG!$B$11,"FUERTE",IF(W184&gt;=CONFIG!$B$12,"MEDIA","BAJA")))</f>
        <v/>
      </c>
      <c r="Y184" s="2">
        <f>IF(OR(H184="",S184=""),"",IF(OR(H184&lt;CONFIG!$B$2,H184&gt;CONFIG!$B$3),"NO APTO",IF(S184&lt;IF(H184&lt;1.6,CONFIG!$B$4,IF(H184&lt;1.7,CONFIG!$B$5,IF(H184&lt;1.8,CONFIG!$B$6,IF(H184&lt;2,CONFIG!$B$7,IF(H184&lt;2.2,CONFIG!$B$8,CONFIG!$B$9))))),"NO APTO",IF(V184&lt;CONFIG!$B$10,"NO APTO",IF(AND(W184&gt;=CONFIG!$B$11,R184&gt;=CONFIG!$B$13),"ALERTA FUERTE",IF(AND(W184&gt;=CONFIG!$B$12,R184&gt;=CONFIG!$B$13),"ALERTA MEDIA","NO APTO"))))))</f>
        <v/>
      </c>
      <c r="Z184" s="2">
        <f>IF(Y184="","",IF(Y184="NO APTO","Revisar cuota/probabilidad/EV/puntuación/muestra",IF(Y184="ALERTA FUERTE","Cumple filtros de cuota + probabilidad + EV + confianza + muestra","Cumple filtros, pero confianza inferior a FUERTE")))</f>
        <v/>
      </c>
    </row>
    <row r="185">
      <c r="A185" s="2">
        <f>IF(E185="","",ROW()-1)</f>
        <v/>
      </c>
      <c r="B185" s="2" t="inlineStr">
        <is>
          <t>2026-08-19</t>
        </is>
      </c>
      <c r="C185" s="2" t="inlineStr">
        <is>
          <t>11:00</t>
        </is>
      </c>
      <c r="D185" s="2" t="inlineStr">
        <is>
          <t>III Liga - Group 3</t>
        </is>
      </c>
      <c r="E185" s="2" t="inlineStr">
        <is>
          <t>ROW Rybnik vs Carina Gubin</t>
        </is>
      </c>
      <c r="F185" s="2" t="inlineStr">
        <is>
          <t>PENDIENTE</t>
        </is>
      </c>
      <c r="G185" s="2" t="inlineStr">
        <is>
          <t>SELECCIONAR MERCADO</t>
        </is>
      </c>
      <c r="H185" s="6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2" t="n"/>
      <c r="S185" s="7" t="n"/>
      <c r="T185" s="7">
        <f>IFERROR(1/H185,"")</f>
        <v/>
      </c>
      <c r="U185" s="7">
        <f>IF(OR(S185="",T185=""),"",S185-T185)</f>
        <v/>
      </c>
      <c r="V185" s="7">
        <f>IF(OR(S185="",H185=""),"",S185*H185-1)</f>
        <v/>
      </c>
      <c r="W185" s="2">
        <f>IF(E185="","",ROUND(100*(0.22*I185+0.18*J185+0.18*K185+0.10*L185+0.08*M185+0.06*N185+0.06*O185+0.04*P185+0.04*Q185+0.04*MIN(R185/10,1)),0))</f>
        <v/>
      </c>
      <c r="X185" s="2">
        <f>IF(W185="","",IF(W185&gt;=CONFIG!$B$11,"FUERTE",IF(W185&gt;=CONFIG!$B$12,"MEDIA","BAJA")))</f>
        <v/>
      </c>
      <c r="Y185" s="2">
        <f>IF(OR(H185="",S185=""),"",IF(OR(H185&lt;CONFIG!$B$2,H185&gt;CONFIG!$B$3),"NO APTO",IF(S185&lt;IF(H185&lt;1.6,CONFIG!$B$4,IF(H185&lt;1.7,CONFIG!$B$5,IF(H185&lt;1.8,CONFIG!$B$6,IF(H185&lt;2,CONFIG!$B$7,IF(H185&lt;2.2,CONFIG!$B$8,CONFIG!$B$9))))),"NO APTO",IF(V185&lt;CONFIG!$B$10,"NO APTO",IF(AND(W185&gt;=CONFIG!$B$11,R185&gt;=CONFIG!$B$13),"ALERTA FUERTE",IF(AND(W185&gt;=CONFIG!$B$12,R185&gt;=CONFIG!$B$13),"ALERTA MEDIA","NO APTO"))))))</f>
        <v/>
      </c>
      <c r="Z185" s="2">
        <f>IF(Y185="","",IF(Y185="NO APTO","Revisar cuota/probabilidad/EV/puntuación/muestra",IF(Y185="ALERTA FUERTE","Cumple filtros de cuota + probabilidad + EV + confianza + muestra","Cumple filtros, pero confianza inferior a FUERTE")))</f>
        <v/>
      </c>
    </row>
    <row r="186">
      <c r="A186" s="2">
        <f>IF(E186="","",ROW()-1)</f>
        <v/>
      </c>
      <c r="B186" s="2" t="inlineStr">
        <is>
          <t>2026-08-19</t>
        </is>
      </c>
      <c r="C186" s="2" t="inlineStr">
        <is>
          <t>11:00</t>
        </is>
      </c>
      <c r="D186" s="2" t="inlineStr">
        <is>
          <t>III Liga - Group 3</t>
        </is>
      </c>
      <c r="E186" s="2" t="inlineStr">
        <is>
          <t>Zaglebie Sosnowiec vs Ślęza Wrocław</t>
        </is>
      </c>
      <c r="F186" s="2" t="inlineStr">
        <is>
          <t>PENDIENTE</t>
        </is>
      </c>
      <c r="G186" s="2" t="inlineStr">
        <is>
          <t>SELECCIONAR MERCADO</t>
        </is>
      </c>
      <c r="H186" s="6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2" t="n"/>
      <c r="S186" s="7" t="n"/>
      <c r="T186" s="7">
        <f>IFERROR(1/H186,"")</f>
        <v/>
      </c>
      <c r="U186" s="7">
        <f>IF(OR(S186="",T186=""),"",S186-T186)</f>
        <v/>
      </c>
      <c r="V186" s="7">
        <f>IF(OR(S186="",H186=""),"",S186*H186-1)</f>
        <v/>
      </c>
      <c r="W186" s="2">
        <f>IF(E186="","",ROUND(100*(0.22*I186+0.18*J186+0.18*K186+0.10*L186+0.08*M186+0.06*N186+0.06*O186+0.04*P186+0.04*Q186+0.04*MIN(R186/10,1)),0))</f>
        <v/>
      </c>
      <c r="X186" s="2">
        <f>IF(W186="","",IF(W186&gt;=CONFIG!$B$11,"FUERTE",IF(W186&gt;=CONFIG!$B$12,"MEDIA","BAJA")))</f>
        <v/>
      </c>
      <c r="Y186" s="2">
        <f>IF(OR(H186="",S186=""),"",IF(OR(H186&lt;CONFIG!$B$2,H186&gt;CONFIG!$B$3),"NO APTO",IF(S186&lt;IF(H186&lt;1.6,CONFIG!$B$4,IF(H186&lt;1.7,CONFIG!$B$5,IF(H186&lt;1.8,CONFIG!$B$6,IF(H186&lt;2,CONFIG!$B$7,IF(H186&lt;2.2,CONFIG!$B$8,CONFIG!$B$9))))),"NO APTO",IF(V186&lt;CONFIG!$B$10,"NO APTO",IF(AND(W186&gt;=CONFIG!$B$11,R186&gt;=CONFIG!$B$13),"ALERTA FUERTE",IF(AND(W186&gt;=CONFIG!$B$12,R186&gt;=CONFIG!$B$13),"ALERTA MEDIA","NO APTO"))))))</f>
        <v/>
      </c>
      <c r="Z186" s="2">
        <f>IF(Y186="","",IF(Y186="NO APTO","Revisar cuota/probabilidad/EV/puntuación/muestra",IF(Y186="ALERTA FUERTE","Cumple filtros de cuota + probabilidad + EV + confianza + muestra","Cumple filtros, pero confianza inferior a FUERTE")))</f>
        <v/>
      </c>
    </row>
    <row r="187">
      <c r="A187" s="2">
        <f>IF(E187="","",ROW()-1)</f>
        <v/>
      </c>
      <c r="B187" s="2" t="inlineStr">
        <is>
          <t>2026-08-19</t>
        </is>
      </c>
      <c r="C187" s="2" t="inlineStr">
        <is>
          <t>11:00</t>
        </is>
      </c>
      <c r="D187" s="2" t="inlineStr">
        <is>
          <t>III Liga - Group 2</t>
        </is>
      </c>
      <c r="E187" s="2" t="inlineStr">
        <is>
          <t>Elana Toruń vs Unia Swarzędz</t>
        </is>
      </c>
      <c r="F187" s="2" t="inlineStr">
        <is>
          <t>PENDIENTE</t>
        </is>
      </c>
      <c r="G187" s="2" t="inlineStr">
        <is>
          <t>SELECCIONAR MERCADO</t>
        </is>
      </c>
      <c r="H187" s="6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2" t="n"/>
      <c r="S187" s="7" t="n"/>
      <c r="T187" s="7">
        <f>IFERROR(1/H187,"")</f>
        <v/>
      </c>
      <c r="U187" s="7">
        <f>IF(OR(S187="",T187=""),"",S187-T187)</f>
        <v/>
      </c>
      <c r="V187" s="7">
        <f>IF(OR(S187="",H187=""),"",S187*H187-1)</f>
        <v/>
      </c>
      <c r="W187" s="2">
        <f>IF(E187="","",ROUND(100*(0.22*I187+0.18*J187+0.18*K187+0.10*L187+0.08*M187+0.06*N187+0.06*O187+0.04*P187+0.04*Q187+0.04*MIN(R187/10,1)),0))</f>
        <v/>
      </c>
      <c r="X187" s="2">
        <f>IF(W187="","",IF(W187&gt;=CONFIG!$B$11,"FUERTE",IF(W187&gt;=CONFIG!$B$12,"MEDIA","BAJA")))</f>
        <v/>
      </c>
      <c r="Y187" s="2">
        <f>IF(OR(H187="",S187=""),"",IF(OR(H187&lt;CONFIG!$B$2,H187&gt;CONFIG!$B$3),"NO APTO",IF(S187&lt;IF(H187&lt;1.6,CONFIG!$B$4,IF(H187&lt;1.7,CONFIG!$B$5,IF(H187&lt;1.8,CONFIG!$B$6,IF(H187&lt;2,CONFIG!$B$7,IF(H187&lt;2.2,CONFIG!$B$8,CONFIG!$B$9))))),"NO APTO",IF(V187&lt;CONFIG!$B$10,"NO APTO",IF(AND(W187&gt;=CONFIG!$B$11,R187&gt;=CONFIG!$B$13),"ALERTA FUERTE",IF(AND(W187&gt;=CONFIG!$B$12,R187&gt;=CONFIG!$B$13),"ALERTA MEDIA","NO APTO"))))))</f>
        <v/>
      </c>
      <c r="Z187" s="2">
        <f>IF(Y187="","",IF(Y187="NO APTO","Revisar cuota/probabilidad/EV/puntuación/muestra",IF(Y187="ALERTA FUERTE","Cumple filtros de cuota + probabilidad + EV + confianza + muestra","Cumple filtros, pero confianza inferior a FUERTE")))</f>
        <v/>
      </c>
    </row>
    <row r="188">
      <c r="A188" s="2">
        <f>IF(E188="","",ROW()-1)</f>
        <v/>
      </c>
      <c r="B188" s="2" t="inlineStr">
        <is>
          <t>2026-08-19</t>
        </is>
      </c>
      <c r="C188" s="2" t="inlineStr">
        <is>
          <t>11:00</t>
        </is>
      </c>
      <c r="D188" s="2" t="inlineStr">
        <is>
          <t>III Liga - Group 2</t>
        </is>
      </c>
      <c r="E188" s="2" t="inlineStr">
        <is>
          <t>Kotwica Kórnik vs Bałtyk Koszalin</t>
        </is>
      </c>
      <c r="F188" s="2" t="inlineStr">
        <is>
          <t>PENDIENTE</t>
        </is>
      </c>
      <c r="G188" s="2" t="inlineStr">
        <is>
          <t>SELECCIONAR MERCADO</t>
        </is>
      </c>
      <c r="H188" s="6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2" t="n"/>
      <c r="S188" s="7" t="n"/>
      <c r="T188" s="7">
        <f>IFERROR(1/H188,"")</f>
        <v/>
      </c>
      <c r="U188" s="7">
        <f>IF(OR(S188="",T188=""),"",S188-T188)</f>
        <v/>
      </c>
      <c r="V188" s="7">
        <f>IF(OR(S188="",H188=""),"",S188*H188-1)</f>
        <v/>
      </c>
      <c r="W188" s="2">
        <f>IF(E188="","",ROUND(100*(0.22*I188+0.18*J188+0.18*K188+0.10*L188+0.08*M188+0.06*N188+0.06*O188+0.04*P188+0.04*Q188+0.04*MIN(R188/10,1)),0))</f>
        <v/>
      </c>
      <c r="X188" s="2">
        <f>IF(W188="","",IF(W188&gt;=CONFIG!$B$11,"FUERTE",IF(W188&gt;=CONFIG!$B$12,"MEDIA","BAJA")))</f>
        <v/>
      </c>
      <c r="Y188" s="2">
        <f>IF(OR(H188="",S188=""),"",IF(OR(H188&lt;CONFIG!$B$2,H188&gt;CONFIG!$B$3),"NO APTO",IF(S188&lt;IF(H188&lt;1.6,CONFIG!$B$4,IF(H188&lt;1.7,CONFIG!$B$5,IF(H188&lt;1.8,CONFIG!$B$6,IF(H188&lt;2,CONFIG!$B$7,IF(H188&lt;2.2,CONFIG!$B$8,CONFIG!$B$9))))),"NO APTO",IF(V188&lt;CONFIG!$B$10,"NO APTO",IF(AND(W188&gt;=CONFIG!$B$11,R188&gt;=CONFIG!$B$13),"ALERTA FUERTE",IF(AND(W188&gt;=CONFIG!$B$12,R188&gt;=CONFIG!$B$13),"ALERTA MEDIA","NO APTO"))))))</f>
        <v/>
      </c>
      <c r="Z188" s="2">
        <f>IF(Y188="","",IF(Y188="NO APTO","Revisar cuota/probabilidad/EV/puntuación/muestra",IF(Y188="ALERTA FUERTE","Cumple filtros de cuota + probabilidad + EV + confianza + muestra","Cumple filtros, pero confianza inferior a FUERTE")))</f>
        <v/>
      </c>
    </row>
    <row r="189">
      <c r="A189" s="2">
        <f>IF(E189="","",ROW()-1)</f>
        <v/>
      </c>
      <c r="B189" s="2" t="inlineStr">
        <is>
          <t>2026-08-19</t>
        </is>
      </c>
      <c r="C189" s="2" t="inlineStr">
        <is>
          <t>11:00</t>
        </is>
      </c>
      <c r="D189" s="2" t="inlineStr">
        <is>
          <t>U19 Bundesliga</t>
        </is>
      </c>
      <c r="E189" s="2" t="inlineStr">
        <is>
          <t>Rot-Weiß Erfurt U19 vs Nürnberg U19</t>
        </is>
      </c>
      <c r="F189" s="2" t="inlineStr">
        <is>
          <t>PENDIENTE</t>
        </is>
      </c>
      <c r="G189" s="2" t="inlineStr">
        <is>
          <t>SELECCIONAR MERCADO</t>
        </is>
      </c>
      <c r="H189" s="6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2" t="n"/>
      <c r="S189" s="7" t="n"/>
      <c r="T189" s="7">
        <f>IFERROR(1/H189,"")</f>
        <v/>
      </c>
      <c r="U189" s="7">
        <f>IF(OR(S189="",T189=""),"",S189-T189)</f>
        <v/>
      </c>
      <c r="V189" s="7">
        <f>IF(OR(S189="",H189=""),"",S189*H189-1)</f>
        <v/>
      </c>
      <c r="W189" s="2">
        <f>IF(E189="","",ROUND(100*(0.22*I189+0.18*J189+0.18*K189+0.10*L189+0.08*M189+0.06*N189+0.06*O189+0.04*P189+0.04*Q189+0.04*MIN(R189/10,1)),0))</f>
        <v/>
      </c>
      <c r="X189" s="2">
        <f>IF(W189="","",IF(W189&gt;=CONFIG!$B$11,"FUERTE",IF(W189&gt;=CONFIG!$B$12,"MEDIA","BAJA")))</f>
        <v/>
      </c>
      <c r="Y189" s="2">
        <f>IF(OR(H189="",S189=""),"",IF(OR(H189&lt;CONFIG!$B$2,H189&gt;CONFIG!$B$3),"NO APTO",IF(S189&lt;IF(H189&lt;1.6,CONFIG!$B$4,IF(H189&lt;1.7,CONFIG!$B$5,IF(H189&lt;1.8,CONFIG!$B$6,IF(H189&lt;2,CONFIG!$B$7,IF(H189&lt;2.2,CONFIG!$B$8,CONFIG!$B$9))))),"NO APTO",IF(V189&lt;CONFIG!$B$10,"NO APTO",IF(AND(W189&gt;=CONFIG!$B$11,R189&gt;=CONFIG!$B$13),"ALERTA FUERTE",IF(AND(W189&gt;=CONFIG!$B$12,R189&gt;=CONFIG!$B$13),"ALERTA MEDIA","NO APTO"))))))</f>
        <v/>
      </c>
      <c r="Z189" s="2">
        <f>IF(Y189="","",IF(Y189="NO APTO","Revisar cuota/probabilidad/EV/puntuación/muestra",IF(Y189="ALERTA FUERTE","Cumple filtros de cuota + probabilidad + EV + confianza + muestra","Cumple filtros, pero confianza inferior a FUERTE")))</f>
        <v/>
      </c>
    </row>
    <row r="190">
      <c r="A190" s="2">
        <f>IF(E190="","",ROW()-1)</f>
        <v/>
      </c>
      <c r="B190" s="2" t="inlineStr">
        <is>
          <t>2026-08-19</t>
        </is>
      </c>
      <c r="C190" s="2" t="inlineStr">
        <is>
          <t>11:00</t>
        </is>
      </c>
      <c r="D190" s="2" t="inlineStr">
        <is>
          <t>Ligi kuu Bara</t>
        </is>
      </c>
      <c r="E190" s="2" t="inlineStr">
        <is>
          <t>Kagera Sugar vs Singida Black Stars</t>
        </is>
      </c>
      <c r="F190" s="2" t="inlineStr">
        <is>
          <t>PENDIENTE</t>
        </is>
      </c>
      <c r="G190" s="2" t="inlineStr">
        <is>
          <t>SELECCIONAR MERCADO</t>
        </is>
      </c>
      <c r="H190" s="6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2" t="n"/>
      <c r="S190" s="7" t="n"/>
      <c r="T190" s="7">
        <f>IFERROR(1/H190,"")</f>
        <v/>
      </c>
      <c r="U190" s="7">
        <f>IF(OR(S190="",T190=""),"",S190-T190)</f>
        <v/>
      </c>
      <c r="V190" s="7">
        <f>IF(OR(S190="",H190=""),"",S190*H190-1)</f>
        <v/>
      </c>
      <c r="W190" s="2">
        <f>IF(E190="","",ROUND(100*(0.22*I190+0.18*J190+0.18*K190+0.10*L190+0.08*M190+0.06*N190+0.06*O190+0.04*P190+0.04*Q190+0.04*MIN(R190/10,1)),0))</f>
        <v/>
      </c>
      <c r="X190" s="2">
        <f>IF(W190="","",IF(W190&gt;=CONFIG!$B$11,"FUERTE",IF(W190&gt;=CONFIG!$B$12,"MEDIA","BAJA")))</f>
        <v/>
      </c>
      <c r="Y190" s="2">
        <f>IF(OR(H190="",S190=""),"",IF(OR(H190&lt;CONFIG!$B$2,H190&gt;CONFIG!$B$3),"NO APTO",IF(S190&lt;IF(H190&lt;1.6,CONFIG!$B$4,IF(H190&lt;1.7,CONFIG!$B$5,IF(H190&lt;1.8,CONFIG!$B$6,IF(H190&lt;2,CONFIG!$B$7,IF(H190&lt;2.2,CONFIG!$B$8,CONFIG!$B$9))))),"NO APTO",IF(V190&lt;CONFIG!$B$10,"NO APTO",IF(AND(W190&gt;=CONFIG!$B$11,R190&gt;=CONFIG!$B$13),"ALERTA FUERTE",IF(AND(W190&gt;=CONFIG!$B$12,R190&gt;=CONFIG!$B$13),"ALERTA MEDIA","NO APTO"))))))</f>
        <v/>
      </c>
      <c r="Z190" s="2">
        <f>IF(Y190="","",IF(Y190="NO APTO","Revisar cuota/probabilidad/EV/puntuación/muestra",IF(Y190="ALERTA FUERTE","Cumple filtros de cuota + probabilidad + EV + confianza + muestra","Cumple filtros, pero confianza inferior a FUERTE")))</f>
        <v/>
      </c>
    </row>
    <row r="191">
      <c r="A191" s="2">
        <f>IF(E191="","",ROW()-1)</f>
        <v/>
      </c>
      <c r="B191" s="2" t="inlineStr">
        <is>
          <t>2026-08-19</t>
        </is>
      </c>
      <c r="C191" s="2" t="inlineStr">
        <is>
          <t>11:00</t>
        </is>
      </c>
      <c r="D191" s="2" t="inlineStr">
        <is>
          <t>Cup</t>
        </is>
      </c>
      <c r="E191" s="2" t="inlineStr">
        <is>
          <t>Hiiumaa vs Nõmme United</t>
        </is>
      </c>
      <c r="F191" s="2" t="inlineStr">
        <is>
          <t>PENDIENTE</t>
        </is>
      </c>
      <c r="G191" s="2" t="inlineStr">
        <is>
          <t>SELECCIONAR MERCADO</t>
        </is>
      </c>
      <c r="H191" s="6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2" t="n"/>
      <c r="S191" s="7" t="n"/>
      <c r="T191" s="7">
        <f>IFERROR(1/H191,"")</f>
        <v/>
      </c>
      <c r="U191" s="7">
        <f>IF(OR(S191="",T191=""),"",S191-T191)</f>
        <v/>
      </c>
      <c r="V191" s="7">
        <f>IF(OR(S191="",H191=""),"",S191*H191-1)</f>
        <v/>
      </c>
      <c r="W191" s="2">
        <f>IF(E191="","",ROUND(100*(0.22*I191+0.18*J191+0.18*K191+0.10*L191+0.08*M191+0.06*N191+0.06*O191+0.04*P191+0.04*Q191+0.04*MIN(R191/10,1)),0))</f>
        <v/>
      </c>
      <c r="X191" s="2">
        <f>IF(W191="","",IF(W191&gt;=CONFIG!$B$11,"FUERTE",IF(W191&gt;=CONFIG!$B$12,"MEDIA","BAJA")))</f>
        <v/>
      </c>
      <c r="Y191" s="2">
        <f>IF(OR(H191="",S191=""),"",IF(OR(H191&lt;CONFIG!$B$2,H191&gt;CONFIG!$B$3),"NO APTO",IF(S191&lt;IF(H191&lt;1.6,CONFIG!$B$4,IF(H191&lt;1.7,CONFIG!$B$5,IF(H191&lt;1.8,CONFIG!$B$6,IF(H191&lt;2,CONFIG!$B$7,IF(H191&lt;2.2,CONFIG!$B$8,CONFIG!$B$9))))),"NO APTO",IF(V191&lt;CONFIG!$B$10,"NO APTO",IF(AND(W191&gt;=CONFIG!$B$11,R191&gt;=CONFIG!$B$13),"ALERTA FUERTE",IF(AND(W191&gt;=CONFIG!$B$12,R191&gt;=CONFIG!$B$13),"ALERTA MEDIA","NO APTO"))))))</f>
        <v/>
      </c>
      <c r="Z191" s="2">
        <f>IF(Y191="","",IF(Y191="NO APTO","Revisar cuota/probabilidad/EV/puntuación/muestra",IF(Y191="ALERTA FUERTE","Cumple filtros de cuota + probabilidad + EV + confianza + muestra","Cumple filtros, pero confianza inferior a FUERTE")))</f>
        <v/>
      </c>
    </row>
    <row r="192">
      <c r="A192" s="2">
        <f>IF(E192="","",ROW()-1)</f>
        <v/>
      </c>
      <c r="B192" s="2" t="inlineStr">
        <is>
          <t>2026-08-19</t>
        </is>
      </c>
      <c r="C192" s="2" t="inlineStr">
        <is>
          <t>11:00</t>
        </is>
      </c>
      <c r="D192" s="2" t="inlineStr">
        <is>
          <t>Cup</t>
        </is>
      </c>
      <c r="E192" s="2" t="inlineStr">
        <is>
          <t>Olympic vs Saku Sporting</t>
        </is>
      </c>
      <c r="F192" s="2" t="inlineStr">
        <is>
          <t>PENDIENTE</t>
        </is>
      </c>
      <c r="G192" s="2" t="inlineStr">
        <is>
          <t>SELECCIONAR MERCADO</t>
        </is>
      </c>
      <c r="H192" s="6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2" t="n"/>
      <c r="S192" s="7" t="n"/>
      <c r="T192" s="7">
        <f>IFERROR(1/H192,"")</f>
        <v/>
      </c>
      <c r="U192" s="7">
        <f>IF(OR(S192="",T192=""),"",S192-T192)</f>
        <v/>
      </c>
      <c r="V192" s="7">
        <f>IF(OR(S192="",H192=""),"",S192*H192-1)</f>
        <v/>
      </c>
      <c r="W192" s="2">
        <f>IF(E192="","",ROUND(100*(0.22*I192+0.18*J192+0.18*K192+0.10*L192+0.08*M192+0.06*N192+0.06*O192+0.04*P192+0.04*Q192+0.04*MIN(R192/10,1)),0))</f>
        <v/>
      </c>
      <c r="X192" s="2">
        <f>IF(W192="","",IF(W192&gt;=CONFIG!$B$11,"FUERTE",IF(W192&gt;=CONFIG!$B$12,"MEDIA","BAJA")))</f>
        <v/>
      </c>
      <c r="Y192" s="2">
        <f>IF(OR(H192="",S192=""),"",IF(OR(H192&lt;CONFIG!$B$2,H192&gt;CONFIG!$B$3),"NO APTO",IF(S192&lt;IF(H192&lt;1.6,CONFIG!$B$4,IF(H192&lt;1.7,CONFIG!$B$5,IF(H192&lt;1.8,CONFIG!$B$6,IF(H192&lt;2,CONFIG!$B$7,IF(H192&lt;2.2,CONFIG!$B$8,CONFIG!$B$9))))),"NO APTO",IF(V192&lt;CONFIG!$B$10,"NO APTO",IF(AND(W192&gt;=CONFIG!$B$11,R192&gt;=CONFIG!$B$13),"ALERTA FUERTE",IF(AND(W192&gt;=CONFIG!$B$12,R192&gt;=CONFIG!$B$13),"ALERTA MEDIA","NO APTO"))))))</f>
        <v/>
      </c>
      <c r="Z192" s="2">
        <f>IF(Y192="","",IF(Y192="NO APTO","Revisar cuota/probabilidad/EV/puntuación/muestra",IF(Y192="ALERTA FUERTE","Cumple filtros de cuota + probabilidad + EV + confianza + muestra","Cumple filtros, pero confianza inferior a FUERTE")))</f>
        <v/>
      </c>
    </row>
    <row r="193">
      <c r="A193" s="2">
        <f>IF(E193="","",ROW()-1)</f>
        <v/>
      </c>
      <c r="B193" s="2" t="inlineStr">
        <is>
          <t>2026-08-19</t>
        </is>
      </c>
      <c r="C193" s="2" t="inlineStr">
        <is>
          <t>11:00</t>
        </is>
      </c>
      <c r="D193" s="2" t="inlineStr">
        <is>
          <t>Cup</t>
        </is>
      </c>
      <c r="E193" s="2" t="inlineStr">
        <is>
          <t>Keila vs Flora III</t>
        </is>
      </c>
      <c r="F193" s="2" t="inlineStr">
        <is>
          <t>PENDIENTE</t>
        </is>
      </c>
      <c r="G193" s="2" t="inlineStr">
        <is>
          <t>SELECCIONAR MERCADO</t>
        </is>
      </c>
      <c r="H193" s="6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2" t="n"/>
      <c r="S193" s="7" t="n"/>
      <c r="T193" s="7">
        <f>IFERROR(1/H193,"")</f>
        <v/>
      </c>
      <c r="U193" s="7">
        <f>IF(OR(S193="",T193=""),"",S193-T193)</f>
        <v/>
      </c>
      <c r="V193" s="7">
        <f>IF(OR(S193="",H193=""),"",S193*H193-1)</f>
        <v/>
      </c>
      <c r="W193" s="2">
        <f>IF(E193="","",ROUND(100*(0.22*I193+0.18*J193+0.18*K193+0.10*L193+0.08*M193+0.06*N193+0.06*O193+0.04*P193+0.04*Q193+0.04*MIN(R193/10,1)),0))</f>
        <v/>
      </c>
      <c r="X193" s="2">
        <f>IF(W193="","",IF(W193&gt;=CONFIG!$B$11,"FUERTE",IF(W193&gt;=CONFIG!$B$12,"MEDIA","BAJA")))</f>
        <v/>
      </c>
      <c r="Y193" s="2">
        <f>IF(OR(H193="",S193=""),"",IF(OR(H193&lt;CONFIG!$B$2,H193&gt;CONFIG!$B$3),"NO APTO",IF(S193&lt;IF(H193&lt;1.6,CONFIG!$B$4,IF(H193&lt;1.7,CONFIG!$B$5,IF(H193&lt;1.8,CONFIG!$B$6,IF(H193&lt;2,CONFIG!$B$7,IF(H193&lt;2.2,CONFIG!$B$8,CONFIG!$B$9))))),"NO APTO",IF(V193&lt;CONFIG!$B$10,"NO APTO",IF(AND(W193&gt;=CONFIG!$B$11,R193&gt;=CONFIG!$B$13),"ALERTA FUERTE",IF(AND(W193&gt;=CONFIG!$B$12,R193&gt;=CONFIG!$B$13),"ALERTA MEDIA","NO APTO"))))))</f>
        <v/>
      </c>
      <c r="Z193" s="2">
        <f>IF(Y193="","",IF(Y193="NO APTO","Revisar cuota/probabilidad/EV/puntuación/muestra",IF(Y193="ALERTA FUERTE","Cumple filtros de cuota + probabilidad + EV + confianza + muestra","Cumple filtros, pero confianza inferior a FUERTE")))</f>
        <v/>
      </c>
    </row>
    <row r="194">
      <c r="A194" s="2">
        <f>IF(E194="","",ROW()-1)</f>
        <v/>
      </c>
      <c r="B194" s="2" t="inlineStr">
        <is>
          <t>2026-08-19</t>
        </is>
      </c>
      <c r="C194" s="2" t="inlineStr">
        <is>
          <t>11:00</t>
        </is>
      </c>
      <c r="D194" s="2" t="inlineStr">
        <is>
          <t>Cup</t>
        </is>
      </c>
      <c r="E194" s="2" t="inlineStr">
        <is>
          <t>Panserraikos vs Panthrakikos</t>
        </is>
      </c>
      <c r="F194" s="2" t="inlineStr">
        <is>
          <t>PENDIENTE</t>
        </is>
      </c>
      <c r="G194" s="2" t="inlineStr">
        <is>
          <t>SELECCIONAR MERCADO</t>
        </is>
      </c>
      <c r="H194" s="6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2" t="n"/>
      <c r="S194" s="7" t="n"/>
      <c r="T194" s="7">
        <f>IFERROR(1/H194,"")</f>
        <v/>
      </c>
      <c r="U194" s="7">
        <f>IF(OR(S194="",T194=""),"",S194-T194)</f>
        <v/>
      </c>
      <c r="V194" s="7">
        <f>IF(OR(S194="",H194=""),"",S194*H194-1)</f>
        <v/>
      </c>
      <c r="W194" s="2">
        <f>IF(E194="","",ROUND(100*(0.22*I194+0.18*J194+0.18*K194+0.10*L194+0.08*M194+0.06*N194+0.06*O194+0.04*P194+0.04*Q194+0.04*MIN(R194/10,1)),0))</f>
        <v/>
      </c>
      <c r="X194" s="2">
        <f>IF(W194="","",IF(W194&gt;=CONFIG!$B$11,"FUERTE",IF(W194&gt;=CONFIG!$B$12,"MEDIA","BAJA")))</f>
        <v/>
      </c>
      <c r="Y194" s="2">
        <f>IF(OR(H194="",S194=""),"",IF(OR(H194&lt;CONFIG!$B$2,H194&gt;CONFIG!$B$3),"NO APTO",IF(S194&lt;IF(H194&lt;1.6,CONFIG!$B$4,IF(H194&lt;1.7,CONFIG!$B$5,IF(H194&lt;1.8,CONFIG!$B$6,IF(H194&lt;2,CONFIG!$B$7,IF(H194&lt;2.2,CONFIG!$B$8,CONFIG!$B$9))))),"NO APTO",IF(V194&lt;CONFIG!$B$10,"NO APTO",IF(AND(W194&gt;=CONFIG!$B$11,R194&gt;=CONFIG!$B$13),"ALERTA FUERTE",IF(AND(W194&gt;=CONFIG!$B$12,R194&gt;=CONFIG!$B$13),"ALERTA MEDIA","NO APTO"))))))</f>
        <v/>
      </c>
      <c r="Z194" s="2">
        <f>IF(Y194="","",IF(Y194="NO APTO","Revisar cuota/probabilidad/EV/puntuación/muestra",IF(Y194="ALERTA FUERTE","Cumple filtros de cuota + probabilidad + EV + confianza + muestra","Cumple filtros, pero confianza inferior a FUERTE")))</f>
        <v/>
      </c>
    </row>
    <row r="195">
      <c r="A195" s="2">
        <f>IF(E195="","",ROW()-1)</f>
        <v/>
      </c>
      <c r="B195" s="2" t="inlineStr">
        <is>
          <t>2026-08-19</t>
        </is>
      </c>
      <c r="C195" s="2" t="inlineStr">
        <is>
          <t>11:00</t>
        </is>
      </c>
      <c r="D195" s="2" t="inlineStr">
        <is>
          <t>Persian Gulf Pro League</t>
        </is>
      </c>
      <c r="E195" s="2" t="inlineStr">
        <is>
          <t>Fajr Sepasi vs Sanat Naft</t>
        </is>
      </c>
      <c r="F195" s="2" t="inlineStr">
        <is>
          <t>PENDIENTE</t>
        </is>
      </c>
      <c r="G195" s="2" t="inlineStr">
        <is>
          <t>SELECCIONAR MERCADO</t>
        </is>
      </c>
      <c r="H195" s="6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2" t="n"/>
      <c r="S195" s="7" t="n"/>
      <c r="T195" s="7">
        <f>IFERROR(1/H195,"")</f>
        <v/>
      </c>
      <c r="U195" s="7">
        <f>IF(OR(S195="",T195=""),"",S195-T195)</f>
        <v/>
      </c>
      <c r="V195" s="7">
        <f>IF(OR(S195="",H195=""),"",S195*H195-1)</f>
        <v/>
      </c>
      <c r="W195" s="2">
        <f>IF(E195="","",ROUND(100*(0.22*I195+0.18*J195+0.18*K195+0.10*L195+0.08*M195+0.06*N195+0.06*O195+0.04*P195+0.04*Q195+0.04*MIN(R195/10,1)),0))</f>
        <v/>
      </c>
      <c r="X195" s="2">
        <f>IF(W195="","",IF(W195&gt;=CONFIG!$B$11,"FUERTE",IF(W195&gt;=CONFIG!$B$12,"MEDIA","BAJA")))</f>
        <v/>
      </c>
      <c r="Y195" s="2">
        <f>IF(OR(H195="",S195=""),"",IF(OR(H195&lt;CONFIG!$B$2,H195&gt;CONFIG!$B$3),"NO APTO",IF(S195&lt;IF(H195&lt;1.6,CONFIG!$B$4,IF(H195&lt;1.7,CONFIG!$B$5,IF(H195&lt;1.8,CONFIG!$B$6,IF(H195&lt;2,CONFIG!$B$7,IF(H195&lt;2.2,CONFIG!$B$8,CONFIG!$B$9))))),"NO APTO",IF(V195&lt;CONFIG!$B$10,"NO APTO",IF(AND(W195&gt;=CONFIG!$B$11,R195&gt;=CONFIG!$B$13),"ALERTA FUERTE",IF(AND(W195&gt;=CONFIG!$B$12,R195&gt;=CONFIG!$B$13),"ALERTA MEDIA","NO APTO"))))))</f>
        <v/>
      </c>
      <c r="Z195" s="2">
        <f>IF(Y195="","",IF(Y195="NO APTO","Revisar cuota/probabilidad/EV/puntuación/muestra",IF(Y195="ALERTA FUERTE","Cumple filtros de cuota + probabilidad + EV + confianza + muestra","Cumple filtros, pero confianza inferior a FUERTE")))</f>
        <v/>
      </c>
    </row>
    <row r="196">
      <c r="A196" s="2">
        <f>IF(E196="","",ROW()-1)</f>
        <v/>
      </c>
      <c r="B196" s="2" t="inlineStr">
        <is>
          <t>2026-08-19</t>
        </is>
      </c>
      <c r="C196" s="2" t="inlineStr">
        <is>
          <t>11:00</t>
        </is>
      </c>
      <c r="D196" s="2" t="inlineStr">
        <is>
          <t>Persian Gulf Pro League</t>
        </is>
      </c>
      <c r="E196" s="2" t="inlineStr">
        <is>
          <t>Malavan vs ZOB Ahan</t>
        </is>
      </c>
      <c r="F196" s="2" t="inlineStr">
        <is>
          <t>PENDIENTE</t>
        </is>
      </c>
      <c r="G196" s="2" t="inlineStr">
        <is>
          <t>SELECCIONAR MERCADO</t>
        </is>
      </c>
      <c r="H196" s="6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2" t="n"/>
      <c r="S196" s="7" t="n"/>
      <c r="T196" s="7">
        <f>IFERROR(1/H196,"")</f>
        <v/>
      </c>
      <c r="U196" s="7">
        <f>IF(OR(S196="",T196=""),"",S196-T196)</f>
        <v/>
      </c>
      <c r="V196" s="7">
        <f>IF(OR(S196="",H196=""),"",S196*H196-1)</f>
        <v/>
      </c>
      <c r="W196" s="2">
        <f>IF(E196="","",ROUND(100*(0.22*I196+0.18*J196+0.18*K196+0.10*L196+0.08*M196+0.06*N196+0.06*O196+0.04*P196+0.04*Q196+0.04*MIN(R196/10,1)),0))</f>
        <v/>
      </c>
      <c r="X196" s="2">
        <f>IF(W196="","",IF(W196&gt;=CONFIG!$B$11,"FUERTE",IF(W196&gt;=CONFIG!$B$12,"MEDIA","BAJA")))</f>
        <v/>
      </c>
      <c r="Y196" s="2">
        <f>IF(OR(H196="",S196=""),"",IF(OR(H196&lt;CONFIG!$B$2,H196&gt;CONFIG!$B$3),"NO APTO",IF(S196&lt;IF(H196&lt;1.6,CONFIG!$B$4,IF(H196&lt;1.7,CONFIG!$B$5,IF(H196&lt;1.8,CONFIG!$B$6,IF(H196&lt;2,CONFIG!$B$7,IF(H196&lt;2.2,CONFIG!$B$8,CONFIG!$B$9))))),"NO APTO",IF(V196&lt;CONFIG!$B$10,"NO APTO",IF(AND(W196&gt;=CONFIG!$B$11,R196&gt;=CONFIG!$B$13),"ALERTA FUERTE",IF(AND(W196&gt;=CONFIG!$B$12,R196&gt;=CONFIG!$B$13),"ALERTA MEDIA","NO APTO"))))))</f>
        <v/>
      </c>
      <c r="Z196" s="2">
        <f>IF(Y196="","",IF(Y196="NO APTO","Revisar cuota/probabilidad/EV/puntuación/muestra",IF(Y196="ALERTA FUERTE","Cumple filtros de cuota + probabilidad + EV + confianza + muestra","Cumple filtros, pero confianza inferior a FUERTE")))</f>
        <v/>
      </c>
    </row>
    <row r="197">
      <c r="A197" s="2">
        <f>IF(E197="","",ROW()-1)</f>
        <v/>
      </c>
      <c r="B197" s="2" t="inlineStr">
        <is>
          <t>2026-08-19</t>
        </is>
      </c>
      <c r="C197" s="2" t="inlineStr">
        <is>
          <t>11:00</t>
        </is>
      </c>
      <c r="D197" s="2" t="inlineStr">
        <is>
          <t>Persian Gulf Pro League</t>
        </is>
      </c>
      <c r="E197" s="2" t="inlineStr">
        <is>
          <t>Mes Shahr-e Babak vs Kheybar Khorramabad</t>
        </is>
      </c>
      <c r="F197" s="2" t="inlineStr">
        <is>
          <t>PENDIENTE</t>
        </is>
      </c>
      <c r="G197" s="2" t="inlineStr">
        <is>
          <t>SELECCIONAR MERCADO</t>
        </is>
      </c>
      <c r="H197" s="6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2" t="n"/>
      <c r="S197" s="7" t="n"/>
      <c r="T197" s="7">
        <f>IFERROR(1/H197,"")</f>
        <v/>
      </c>
      <c r="U197" s="7">
        <f>IF(OR(S197="",T197=""),"",S197-T197)</f>
        <v/>
      </c>
      <c r="V197" s="7">
        <f>IF(OR(S197="",H197=""),"",S197*H197-1)</f>
        <v/>
      </c>
      <c r="W197" s="2">
        <f>IF(E197="","",ROUND(100*(0.22*I197+0.18*J197+0.18*K197+0.10*L197+0.08*M197+0.06*N197+0.06*O197+0.04*P197+0.04*Q197+0.04*MIN(R197/10,1)),0))</f>
        <v/>
      </c>
      <c r="X197" s="2">
        <f>IF(W197="","",IF(W197&gt;=CONFIG!$B$11,"FUERTE",IF(W197&gt;=CONFIG!$B$12,"MEDIA","BAJA")))</f>
        <v/>
      </c>
      <c r="Y197" s="2">
        <f>IF(OR(H197="",S197=""),"",IF(OR(H197&lt;CONFIG!$B$2,H197&gt;CONFIG!$B$3),"NO APTO",IF(S197&lt;IF(H197&lt;1.6,CONFIG!$B$4,IF(H197&lt;1.7,CONFIG!$B$5,IF(H197&lt;1.8,CONFIG!$B$6,IF(H197&lt;2,CONFIG!$B$7,IF(H197&lt;2.2,CONFIG!$B$8,CONFIG!$B$9))))),"NO APTO",IF(V197&lt;CONFIG!$B$10,"NO APTO",IF(AND(W197&gt;=CONFIG!$B$11,R197&gt;=CONFIG!$B$13),"ALERTA FUERTE",IF(AND(W197&gt;=CONFIG!$B$12,R197&gt;=CONFIG!$B$13),"ALERTA MEDIA","NO APTO"))))))</f>
        <v/>
      </c>
      <c r="Z197" s="2">
        <f>IF(Y197="","",IF(Y197="NO APTO","Revisar cuota/probabilidad/EV/puntuación/muestra",IF(Y197="ALERTA FUERTE","Cumple filtros de cuota + probabilidad + EV + confianza + muestra","Cumple filtros, pero confianza inferior a FUERTE")))</f>
        <v/>
      </c>
    </row>
    <row r="198">
      <c r="A198" s="2">
        <f>IF(E198="","",ROW()-1)</f>
        <v/>
      </c>
      <c r="B198" s="2" t="inlineStr">
        <is>
          <t>2026-08-19</t>
        </is>
      </c>
      <c r="C198" s="2" t="inlineStr">
        <is>
          <t>11:00</t>
        </is>
      </c>
      <c r="D198" s="2" t="inlineStr">
        <is>
          <t>Persian Gulf Pro League</t>
        </is>
      </c>
      <c r="E198" s="2" t="inlineStr">
        <is>
          <t>Persepolis FC vs Esteghlal Khuzestan</t>
        </is>
      </c>
      <c r="F198" s="2" t="inlineStr">
        <is>
          <t>PENDIENTE</t>
        </is>
      </c>
      <c r="G198" s="2" t="inlineStr">
        <is>
          <t>SELECCIONAR MERCADO</t>
        </is>
      </c>
      <c r="H198" s="6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2" t="n"/>
      <c r="S198" s="7" t="n"/>
      <c r="T198" s="7">
        <f>IFERROR(1/H198,"")</f>
        <v/>
      </c>
      <c r="U198" s="7">
        <f>IF(OR(S198="",T198=""),"",S198-T198)</f>
        <v/>
      </c>
      <c r="V198" s="7">
        <f>IF(OR(S198="",H198=""),"",S198*H198-1)</f>
        <v/>
      </c>
      <c r="W198" s="2">
        <f>IF(E198="","",ROUND(100*(0.22*I198+0.18*J198+0.18*K198+0.10*L198+0.08*M198+0.06*N198+0.06*O198+0.04*P198+0.04*Q198+0.04*MIN(R198/10,1)),0))</f>
        <v/>
      </c>
      <c r="X198" s="2">
        <f>IF(W198="","",IF(W198&gt;=CONFIG!$B$11,"FUERTE",IF(W198&gt;=CONFIG!$B$12,"MEDIA","BAJA")))</f>
        <v/>
      </c>
      <c r="Y198" s="2">
        <f>IF(OR(H198="",S198=""),"",IF(OR(H198&lt;CONFIG!$B$2,H198&gt;CONFIG!$B$3),"NO APTO",IF(S198&lt;IF(H198&lt;1.6,CONFIG!$B$4,IF(H198&lt;1.7,CONFIG!$B$5,IF(H198&lt;1.8,CONFIG!$B$6,IF(H198&lt;2,CONFIG!$B$7,IF(H198&lt;2.2,CONFIG!$B$8,CONFIG!$B$9))))),"NO APTO",IF(V198&lt;CONFIG!$B$10,"NO APTO",IF(AND(W198&gt;=CONFIG!$B$11,R198&gt;=CONFIG!$B$13),"ALERTA FUERTE",IF(AND(W198&gt;=CONFIG!$B$12,R198&gt;=CONFIG!$B$13),"ALERTA MEDIA","NO APTO"))))))</f>
        <v/>
      </c>
      <c r="Z198" s="2">
        <f>IF(Y198="","",IF(Y198="NO APTO","Revisar cuota/probabilidad/EV/puntuación/muestra",IF(Y198="ALERTA FUERTE","Cumple filtros de cuota + probabilidad + EV + confianza + muestra","Cumple filtros, pero confianza inferior a FUERTE")))</f>
        <v/>
      </c>
    </row>
    <row r="199">
      <c r="A199" s="2">
        <f>IF(E199="","",ROW()-1)</f>
        <v/>
      </c>
      <c r="B199" s="2" t="inlineStr">
        <is>
          <t>2026-08-19</t>
        </is>
      </c>
      <c r="C199" s="2" t="inlineStr">
        <is>
          <t>11:00</t>
        </is>
      </c>
      <c r="D199" s="2" t="inlineStr">
        <is>
          <t>DBU Pokalen</t>
        </is>
      </c>
      <c r="E199" s="2" t="inlineStr">
        <is>
          <t>ASA Aarhus vs Randers FC</t>
        </is>
      </c>
      <c r="F199" s="2" t="inlineStr">
        <is>
          <t>PENDIENTE</t>
        </is>
      </c>
      <c r="G199" s="2" t="inlineStr">
        <is>
          <t>SELECCIONAR MERCADO</t>
        </is>
      </c>
      <c r="H199" s="6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2" t="n"/>
      <c r="S199" s="7" t="n"/>
      <c r="T199" s="7">
        <f>IFERROR(1/H199,"")</f>
        <v/>
      </c>
      <c r="U199" s="7">
        <f>IF(OR(S199="",T199=""),"",S199-T199)</f>
        <v/>
      </c>
      <c r="V199" s="7">
        <f>IF(OR(S199="",H199=""),"",S199*H199-1)</f>
        <v/>
      </c>
      <c r="W199" s="2">
        <f>IF(E199="","",ROUND(100*(0.22*I199+0.18*J199+0.18*K199+0.10*L199+0.08*M199+0.06*N199+0.06*O199+0.04*P199+0.04*Q199+0.04*MIN(R199/10,1)),0))</f>
        <v/>
      </c>
      <c r="X199" s="2">
        <f>IF(W199="","",IF(W199&gt;=CONFIG!$B$11,"FUERTE",IF(W199&gt;=CONFIG!$B$12,"MEDIA","BAJA")))</f>
        <v/>
      </c>
      <c r="Y199" s="2">
        <f>IF(OR(H199="",S199=""),"",IF(OR(H199&lt;CONFIG!$B$2,H199&gt;CONFIG!$B$3),"NO APTO",IF(S199&lt;IF(H199&lt;1.6,CONFIG!$B$4,IF(H199&lt;1.7,CONFIG!$B$5,IF(H199&lt;1.8,CONFIG!$B$6,IF(H199&lt;2,CONFIG!$B$7,IF(H199&lt;2.2,CONFIG!$B$8,CONFIG!$B$9))))),"NO APTO",IF(V199&lt;CONFIG!$B$10,"NO APTO",IF(AND(W199&gt;=CONFIG!$B$11,R199&gt;=CONFIG!$B$13),"ALERTA FUERTE",IF(AND(W199&gt;=CONFIG!$B$12,R199&gt;=CONFIG!$B$13),"ALERTA MEDIA","NO APTO"))))))</f>
        <v/>
      </c>
      <c r="Z199" s="2">
        <f>IF(Y199="","",IF(Y199="NO APTO","Revisar cuota/probabilidad/EV/puntuación/muestra",IF(Y199="ALERTA FUERTE","Cumple filtros de cuota + probabilidad + EV + confianza + muestra","Cumple filtros, pero confianza inferior a FUERTE")))</f>
        <v/>
      </c>
    </row>
    <row r="200">
      <c r="A200" s="2">
        <f>IF(E200="","",ROW()-1)</f>
        <v/>
      </c>
      <c r="B200" s="2" t="inlineStr">
        <is>
          <t>2026-08-19</t>
        </is>
      </c>
      <c r="C200" s="2" t="inlineStr">
        <is>
          <t>11:00</t>
        </is>
      </c>
      <c r="D200" s="2" t="inlineStr">
        <is>
          <t>Friendlies Clubs</t>
        </is>
      </c>
      <c r="E200" s="2" t="inlineStr">
        <is>
          <t>Krasava Odintsovo vs AEL</t>
        </is>
      </c>
      <c r="F200" s="2" t="inlineStr">
        <is>
          <t>PENDIENTE</t>
        </is>
      </c>
      <c r="G200" s="2" t="inlineStr">
        <is>
          <t>SELECCIONAR MERCADO</t>
        </is>
      </c>
      <c r="H200" s="6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2" t="n"/>
      <c r="S200" s="7" t="n"/>
      <c r="T200" s="7">
        <f>IFERROR(1/H200,"")</f>
        <v/>
      </c>
      <c r="U200" s="7">
        <f>IF(OR(S200="",T200=""),"",S200-T200)</f>
        <v/>
      </c>
      <c r="V200" s="7">
        <f>IF(OR(S200="",H200=""),"",S200*H200-1)</f>
        <v/>
      </c>
      <c r="W200" s="2">
        <f>IF(E200="","",ROUND(100*(0.22*I200+0.18*J200+0.18*K200+0.10*L200+0.08*M200+0.06*N200+0.06*O200+0.04*P200+0.04*Q200+0.04*MIN(R200/10,1)),0))</f>
        <v/>
      </c>
      <c r="X200" s="2">
        <f>IF(W200="","",IF(W200&gt;=CONFIG!$B$11,"FUERTE",IF(W200&gt;=CONFIG!$B$12,"MEDIA","BAJA")))</f>
        <v/>
      </c>
      <c r="Y200" s="2">
        <f>IF(OR(H200="",S200=""),"",IF(OR(H200&lt;CONFIG!$B$2,H200&gt;CONFIG!$B$3),"NO APTO",IF(S200&lt;IF(H200&lt;1.6,CONFIG!$B$4,IF(H200&lt;1.7,CONFIG!$B$5,IF(H200&lt;1.8,CONFIG!$B$6,IF(H200&lt;2,CONFIG!$B$7,IF(H200&lt;2.2,CONFIG!$B$8,CONFIG!$B$9))))),"NO APTO",IF(V200&lt;CONFIG!$B$10,"NO APTO",IF(AND(W200&gt;=CONFIG!$B$11,R200&gt;=CONFIG!$B$13),"ALERTA FUERTE",IF(AND(W200&gt;=CONFIG!$B$12,R200&gt;=CONFIG!$B$13),"ALERTA MEDIA","NO APTO"))))))</f>
        <v/>
      </c>
      <c r="Z200" s="2">
        <f>IF(Y200="","",IF(Y200="NO APTO","Revisar cuota/probabilidad/EV/puntuación/muestra",IF(Y200="ALERTA FUERTE","Cumple filtros de cuota + probabilidad + EV + confianza + muestra","Cumple filtros, pero confianza inferior a FUERTE")))</f>
        <v/>
      </c>
    </row>
    <row r="201">
      <c r="A201" s="2">
        <f>IF(E201="","",ROW()-1)</f>
        <v/>
      </c>
      <c r="B201" s="2" t="inlineStr">
        <is>
          <t>2026-08-19</t>
        </is>
      </c>
      <c r="C201" s="2" t="inlineStr">
        <is>
          <t>11:15</t>
        </is>
      </c>
      <c r="D201" s="2" t="inlineStr">
        <is>
          <t>King's Cup</t>
        </is>
      </c>
      <c r="E201" s="2" t="inlineStr">
        <is>
          <t>Damac vs Al Taawon</t>
        </is>
      </c>
      <c r="F201" s="2" t="inlineStr">
        <is>
          <t>PENDIENTE</t>
        </is>
      </c>
      <c r="G201" s="2" t="inlineStr">
        <is>
          <t>SELECCIONAR MERCADO</t>
        </is>
      </c>
      <c r="H201" s="6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2" t="n"/>
      <c r="S201" s="7" t="n"/>
      <c r="T201" s="7">
        <f>IFERROR(1/H201,"")</f>
        <v/>
      </c>
      <c r="U201" s="7">
        <f>IF(OR(S201="",T201=""),"",S201-T201)</f>
        <v/>
      </c>
      <c r="V201" s="7">
        <f>IF(OR(S201="",H201=""),"",S201*H201-1)</f>
        <v/>
      </c>
      <c r="W201" s="2">
        <f>IF(E201="","",ROUND(100*(0.22*I201+0.18*J201+0.18*K201+0.10*L201+0.08*M201+0.06*N201+0.06*O201+0.04*P201+0.04*Q201+0.04*MIN(R201/10,1)),0))</f>
        <v/>
      </c>
      <c r="X201" s="2">
        <f>IF(W201="","",IF(W201&gt;=CONFIG!$B$11,"FUERTE",IF(W201&gt;=CONFIG!$B$12,"MEDIA","BAJA")))</f>
        <v/>
      </c>
      <c r="Y201" s="2">
        <f>IF(OR(H201="",S201=""),"",IF(OR(H201&lt;CONFIG!$B$2,H201&gt;CONFIG!$B$3),"NO APTO",IF(S201&lt;IF(H201&lt;1.6,CONFIG!$B$4,IF(H201&lt;1.7,CONFIG!$B$5,IF(H201&lt;1.8,CONFIG!$B$6,IF(H201&lt;2,CONFIG!$B$7,IF(H201&lt;2.2,CONFIG!$B$8,CONFIG!$B$9))))),"NO APTO",IF(V201&lt;CONFIG!$B$10,"NO APTO",IF(AND(W201&gt;=CONFIG!$B$11,R201&gt;=CONFIG!$B$13),"ALERTA FUERTE",IF(AND(W201&gt;=CONFIG!$B$12,R201&gt;=CONFIG!$B$13),"ALERTA MEDIA","NO APTO"))))))</f>
        <v/>
      </c>
      <c r="Z201" s="2">
        <f>IF(Y201="","",IF(Y201="NO APTO","Revisar cuota/probabilidad/EV/puntuación/muestra",IF(Y201="ALERTA FUERTE","Cumple filtros de cuota + probabilidad + EV + confianza + muestra","Cumple filtros, pero confianza inferior a FUERTE")))</f>
        <v/>
      </c>
    </row>
    <row r="202">
      <c r="A202" s="2">
        <f>IF(E202="","",ROW()-1)</f>
        <v/>
      </c>
      <c r="B202" s="2" t="inlineStr">
        <is>
          <t>2026-08-19</t>
        </is>
      </c>
      <c r="C202" s="2" t="inlineStr">
        <is>
          <t>11:30</t>
        </is>
      </c>
      <c r="D202" s="2" t="inlineStr">
        <is>
          <t>Svenska Cupen</t>
        </is>
      </c>
      <c r="E202" s="2" t="inlineStr">
        <is>
          <t>Högaborg vs Osters IF</t>
        </is>
      </c>
      <c r="F202" s="2" t="inlineStr">
        <is>
          <t>PENDIENTE</t>
        </is>
      </c>
      <c r="G202" s="2" t="inlineStr">
        <is>
          <t>SELECCIONAR MERCADO</t>
        </is>
      </c>
      <c r="H202" s="6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2" t="n"/>
      <c r="S202" s="7" t="n"/>
      <c r="T202" s="7">
        <f>IFERROR(1/H202,"")</f>
        <v/>
      </c>
      <c r="U202" s="7">
        <f>IF(OR(S202="",T202=""),"",S202-T202)</f>
        <v/>
      </c>
      <c r="V202" s="7">
        <f>IF(OR(S202="",H202=""),"",S202*H202-1)</f>
        <v/>
      </c>
      <c r="W202" s="2">
        <f>IF(E202="","",ROUND(100*(0.22*I202+0.18*J202+0.18*K202+0.10*L202+0.08*M202+0.06*N202+0.06*O202+0.04*P202+0.04*Q202+0.04*MIN(R202/10,1)),0))</f>
        <v/>
      </c>
      <c r="X202" s="2">
        <f>IF(W202="","",IF(W202&gt;=CONFIG!$B$11,"FUERTE",IF(W202&gt;=CONFIG!$B$12,"MEDIA","BAJA")))</f>
        <v/>
      </c>
      <c r="Y202" s="2">
        <f>IF(OR(H202="",S202=""),"",IF(OR(H202&lt;CONFIG!$B$2,H202&gt;CONFIG!$B$3),"NO APTO",IF(S202&lt;IF(H202&lt;1.6,CONFIG!$B$4,IF(H202&lt;1.7,CONFIG!$B$5,IF(H202&lt;1.8,CONFIG!$B$6,IF(H202&lt;2,CONFIG!$B$7,IF(H202&lt;2.2,CONFIG!$B$8,CONFIG!$B$9))))),"NO APTO",IF(V202&lt;CONFIG!$B$10,"NO APTO",IF(AND(W202&gt;=CONFIG!$B$11,R202&gt;=CONFIG!$B$13),"ALERTA FUERTE",IF(AND(W202&gt;=CONFIG!$B$12,R202&gt;=CONFIG!$B$13),"ALERTA MEDIA","NO APTO"))))))</f>
        <v/>
      </c>
      <c r="Z202" s="2">
        <f>IF(Y202="","",IF(Y202="NO APTO","Revisar cuota/probabilidad/EV/puntuación/muestra",IF(Y202="ALERTA FUERTE","Cumple filtros de cuota + probabilidad + EV + confianza + muestra","Cumple filtros, pero confianza inferior a FUERTE")))</f>
        <v/>
      </c>
    </row>
    <row r="203">
      <c r="A203" s="2">
        <f>IF(E203="","",ROW()-1)</f>
        <v/>
      </c>
      <c r="B203" s="2" t="inlineStr">
        <is>
          <t>2026-08-19</t>
        </is>
      </c>
      <c r="C203" s="2" t="inlineStr">
        <is>
          <t>11:30</t>
        </is>
      </c>
      <c r="D203" s="2" t="inlineStr">
        <is>
          <t>Svenska Cupen</t>
        </is>
      </c>
      <c r="E203" s="2" t="inlineStr">
        <is>
          <t>IFK Östersund vs Degerfors IF</t>
        </is>
      </c>
      <c r="F203" s="2" t="inlineStr">
        <is>
          <t>PENDIENTE</t>
        </is>
      </c>
      <c r="G203" s="2" t="inlineStr">
        <is>
          <t>SELECCIONAR MERCADO</t>
        </is>
      </c>
      <c r="H203" s="6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2" t="n"/>
      <c r="S203" s="7" t="n"/>
      <c r="T203" s="7">
        <f>IFERROR(1/H203,"")</f>
        <v/>
      </c>
      <c r="U203" s="7">
        <f>IF(OR(S203="",T203=""),"",S203-T203)</f>
        <v/>
      </c>
      <c r="V203" s="7">
        <f>IF(OR(S203="",H203=""),"",S203*H203-1)</f>
        <v/>
      </c>
      <c r="W203" s="2">
        <f>IF(E203="","",ROUND(100*(0.22*I203+0.18*J203+0.18*K203+0.10*L203+0.08*M203+0.06*N203+0.06*O203+0.04*P203+0.04*Q203+0.04*MIN(R203/10,1)),0))</f>
        <v/>
      </c>
      <c r="X203" s="2">
        <f>IF(W203="","",IF(W203&gt;=CONFIG!$B$11,"FUERTE",IF(W203&gt;=CONFIG!$B$12,"MEDIA","BAJA")))</f>
        <v/>
      </c>
      <c r="Y203" s="2">
        <f>IF(OR(H203="",S203=""),"",IF(OR(H203&lt;CONFIG!$B$2,H203&gt;CONFIG!$B$3),"NO APTO",IF(S203&lt;IF(H203&lt;1.6,CONFIG!$B$4,IF(H203&lt;1.7,CONFIG!$B$5,IF(H203&lt;1.8,CONFIG!$B$6,IF(H203&lt;2,CONFIG!$B$7,IF(H203&lt;2.2,CONFIG!$B$8,CONFIG!$B$9))))),"NO APTO",IF(V203&lt;CONFIG!$B$10,"NO APTO",IF(AND(W203&gt;=CONFIG!$B$11,R203&gt;=CONFIG!$B$13),"ALERTA FUERTE",IF(AND(W203&gt;=CONFIG!$B$12,R203&gt;=CONFIG!$B$13),"ALERTA MEDIA","NO APTO"))))))</f>
        <v/>
      </c>
      <c r="Z203" s="2">
        <f>IF(Y203="","",IF(Y203="NO APTO","Revisar cuota/probabilidad/EV/puntuación/muestra",IF(Y203="ALERTA FUERTE","Cumple filtros de cuota + probabilidad + EV + confianza + muestra","Cumple filtros, pero confianza inferior a FUERTE")))</f>
        <v/>
      </c>
    </row>
    <row r="204">
      <c r="A204" s="2">
        <f>IF(E204="","",ROW()-1)</f>
        <v/>
      </c>
      <c r="B204" s="2" t="inlineStr">
        <is>
          <t>2026-08-19</t>
        </is>
      </c>
      <c r="C204" s="2" t="inlineStr">
        <is>
          <t>11:30</t>
        </is>
      </c>
      <c r="D204" s="2" t="inlineStr">
        <is>
          <t>Svenska Cupen</t>
        </is>
      </c>
      <c r="E204" s="2" t="inlineStr">
        <is>
          <t>Franke vs Ljungskile SK</t>
        </is>
      </c>
      <c r="F204" s="2" t="inlineStr">
        <is>
          <t>PENDIENTE</t>
        </is>
      </c>
      <c r="G204" s="2" t="inlineStr">
        <is>
          <t>SELECCIONAR MERCADO</t>
        </is>
      </c>
      <c r="H204" s="6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2" t="n"/>
      <c r="S204" s="7" t="n"/>
      <c r="T204" s="7">
        <f>IFERROR(1/H204,"")</f>
        <v/>
      </c>
      <c r="U204" s="7">
        <f>IF(OR(S204="",T204=""),"",S204-T204)</f>
        <v/>
      </c>
      <c r="V204" s="7">
        <f>IF(OR(S204="",H204=""),"",S204*H204-1)</f>
        <v/>
      </c>
      <c r="W204" s="2">
        <f>IF(E204="","",ROUND(100*(0.22*I204+0.18*J204+0.18*K204+0.10*L204+0.08*M204+0.06*N204+0.06*O204+0.04*P204+0.04*Q204+0.04*MIN(R204/10,1)),0))</f>
        <v/>
      </c>
      <c r="X204" s="2">
        <f>IF(W204="","",IF(W204&gt;=CONFIG!$B$11,"FUERTE",IF(W204&gt;=CONFIG!$B$12,"MEDIA","BAJA")))</f>
        <v/>
      </c>
      <c r="Y204" s="2">
        <f>IF(OR(H204="",S204=""),"",IF(OR(H204&lt;CONFIG!$B$2,H204&gt;CONFIG!$B$3),"NO APTO",IF(S204&lt;IF(H204&lt;1.6,CONFIG!$B$4,IF(H204&lt;1.7,CONFIG!$B$5,IF(H204&lt;1.8,CONFIG!$B$6,IF(H204&lt;2,CONFIG!$B$7,IF(H204&lt;2.2,CONFIG!$B$8,CONFIG!$B$9))))),"NO APTO",IF(V204&lt;CONFIG!$B$10,"NO APTO",IF(AND(W204&gt;=CONFIG!$B$11,R204&gt;=CONFIG!$B$13),"ALERTA FUERTE",IF(AND(W204&gt;=CONFIG!$B$12,R204&gt;=CONFIG!$B$13),"ALERTA MEDIA","NO APTO"))))))</f>
        <v/>
      </c>
      <c r="Z204" s="2">
        <f>IF(Y204="","",IF(Y204="NO APTO","Revisar cuota/probabilidad/EV/puntuación/muestra",IF(Y204="ALERTA FUERTE","Cumple filtros de cuota + probabilidad + EV + confianza + muestra","Cumple filtros, pero confianza inferior a FUERTE")))</f>
        <v/>
      </c>
    </row>
    <row r="205">
      <c r="A205" s="2">
        <f>IF(E205="","",ROW()-1)</f>
        <v/>
      </c>
      <c r="B205" s="2" t="inlineStr">
        <is>
          <t>2026-08-19</t>
        </is>
      </c>
      <c r="C205" s="2" t="inlineStr">
        <is>
          <t>11:30</t>
        </is>
      </c>
      <c r="D205" s="2" t="inlineStr">
        <is>
          <t>Svenska Cupen</t>
        </is>
      </c>
      <c r="E205" s="2" t="inlineStr">
        <is>
          <t>FBK Karlstad vs GIF Sundsvall</t>
        </is>
      </c>
      <c r="F205" s="2" t="inlineStr">
        <is>
          <t>PENDIENTE</t>
        </is>
      </c>
      <c r="G205" s="2" t="inlineStr">
        <is>
          <t>SELECCIONAR MERCADO</t>
        </is>
      </c>
      <c r="H205" s="6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2" t="n"/>
      <c r="S205" s="7" t="n"/>
      <c r="T205" s="7">
        <f>IFERROR(1/H205,"")</f>
        <v/>
      </c>
      <c r="U205" s="7">
        <f>IF(OR(S205="",T205=""),"",S205-T205)</f>
        <v/>
      </c>
      <c r="V205" s="7">
        <f>IF(OR(S205="",H205=""),"",S205*H205-1)</f>
        <v/>
      </c>
      <c r="W205" s="2">
        <f>IF(E205="","",ROUND(100*(0.22*I205+0.18*J205+0.18*K205+0.10*L205+0.08*M205+0.06*N205+0.06*O205+0.04*P205+0.04*Q205+0.04*MIN(R205/10,1)),0))</f>
        <v/>
      </c>
      <c r="X205" s="2">
        <f>IF(W205="","",IF(W205&gt;=CONFIG!$B$11,"FUERTE",IF(W205&gt;=CONFIG!$B$12,"MEDIA","BAJA")))</f>
        <v/>
      </c>
      <c r="Y205" s="2">
        <f>IF(OR(H205="",S205=""),"",IF(OR(H205&lt;CONFIG!$B$2,H205&gt;CONFIG!$B$3),"NO APTO",IF(S205&lt;IF(H205&lt;1.6,CONFIG!$B$4,IF(H205&lt;1.7,CONFIG!$B$5,IF(H205&lt;1.8,CONFIG!$B$6,IF(H205&lt;2,CONFIG!$B$7,IF(H205&lt;2.2,CONFIG!$B$8,CONFIG!$B$9))))),"NO APTO",IF(V205&lt;CONFIG!$B$10,"NO APTO",IF(AND(W205&gt;=CONFIG!$B$11,R205&gt;=CONFIG!$B$13),"ALERTA FUERTE",IF(AND(W205&gt;=CONFIG!$B$12,R205&gt;=CONFIG!$B$13),"ALERTA MEDIA","NO APTO"))))))</f>
        <v/>
      </c>
      <c r="Z205" s="2">
        <f>IF(Y205="","",IF(Y205="NO APTO","Revisar cuota/probabilidad/EV/puntuación/muestra",IF(Y205="ALERTA FUERTE","Cumple filtros de cuota + probabilidad + EV + confianza + muestra","Cumple filtros, pero confianza inferior a FUERTE")))</f>
        <v/>
      </c>
    </row>
    <row r="206">
      <c r="A206" s="2">
        <f>IF(E206="","",ROW()-1)</f>
        <v/>
      </c>
      <c r="B206" s="2" t="inlineStr">
        <is>
          <t>2026-08-19</t>
        </is>
      </c>
      <c r="C206" s="2" t="inlineStr">
        <is>
          <t>11:30</t>
        </is>
      </c>
      <c r="D206" s="2" t="inlineStr">
        <is>
          <t>Svenska Cupen</t>
        </is>
      </c>
      <c r="E206" s="2" t="inlineStr">
        <is>
          <t>Enköping vs Vasteras SK FK</t>
        </is>
      </c>
      <c r="F206" s="2" t="inlineStr">
        <is>
          <t>PENDIENTE</t>
        </is>
      </c>
      <c r="G206" s="2" t="inlineStr">
        <is>
          <t>SELECCIONAR MERCADO</t>
        </is>
      </c>
      <c r="H206" s="6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2" t="n"/>
      <c r="S206" s="7" t="n"/>
      <c r="T206" s="7">
        <f>IFERROR(1/H206,"")</f>
        <v/>
      </c>
      <c r="U206" s="7">
        <f>IF(OR(S206="",T206=""),"",S206-T206)</f>
        <v/>
      </c>
      <c r="V206" s="7">
        <f>IF(OR(S206="",H206=""),"",S206*H206-1)</f>
        <v/>
      </c>
      <c r="W206" s="2">
        <f>IF(E206="","",ROUND(100*(0.22*I206+0.18*J206+0.18*K206+0.10*L206+0.08*M206+0.06*N206+0.06*O206+0.04*P206+0.04*Q206+0.04*MIN(R206/10,1)),0))</f>
        <v/>
      </c>
      <c r="X206" s="2">
        <f>IF(W206="","",IF(W206&gt;=CONFIG!$B$11,"FUERTE",IF(W206&gt;=CONFIG!$B$12,"MEDIA","BAJA")))</f>
        <v/>
      </c>
      <c r="Y206" s="2">
        <f>IF(OR(H206="",S206=""),"",IF(OR(H206&lt;CONFIG!$B$2,H206&gt;CONFIG!$B$3),"NO APTO",IF(S206&lt;IF(H206&lt;1.6,CONFIG!$B$4,IF(H206&lt;1.7,CONFIG!$B$5,IF(H206&lt;1.8,CONFIG!$B$6,IF(H206&lt;2,CONFIG!$B$7,IF(H206&lt;2.2,CONFIG!$B$8,CONFIG!$B$9))))),"NO APTO",IF(V206&lt;CONFIG!$B$10,"NO APTO",IF(AND(W206&gt;=CONFIG!$B$11,R206&gt;=CONFIG!$B$13),"ALERTA FUERTE",IF(AND(W206&gt;=CONFIG!$B$12,R206&gt;=CONFIG!$B$13),"ALERTA MEDIA","NO APTO"))))))</f>
        <v/>
      </c>
      <c r="Z206" s="2">
        <f>IF(Y206="","",IF(Y206="NO APTO","Revisar cuota/probabilidad/EV/puntuación/muestra",IF(Y206="ALERTA FUERTE","Cumple filtros de cuota + probabilidad + EV + confianza + muestra","Cumple filtros, pero confianza inferior a FUERTE")))</f>
        <v/>
      </c>
    </row>
    <row r="207">
      <c r="A207" s="2">
        <f>IF(E207="","",ROW()-1)</f>
        <v/>
      </c>
      <c r="B207" s="2" t="inlineStr">
        <is>
          <t>2026-08-19</t>
        </is>
      </c>
      <c r="C207" s="2" t="inlineStr">
        <is>
          <t>11:30</t>
        </is>
      </c>
      <c r="D207" s="2" t="inlineStr">
        <is>
          <t>Svenska Cupen</t>
        </is>
      </c>
      <c r="E207" s="2" t="inlineStr">
        <is>
          <t>Angelholms FF vs Kalmar FF</t>
        </is>
      </c>
      <c r="F207" s="2" t="inlineStr">
        <is>
          <t>PENDIENTE</t>
        </is>
      </c>
      <c r="G207" s="2" t="inlineStr">
        <is>
          <t>SELECCIONAR MERCADO</t>
        </is>
      </c>
      <c r="H207" s="6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2" t="n"/>
      <c r="S207" s="7" t="n"/>
      <c r="T207" s="7">
        <f>IFERROR(1/H207,"")</f>
        <v/>
      </c>
      <c r="U207" s="7">
        <f>IF(OR(S207="",T207=""),"",S207-T207)</f>
        <v/>
      </c>
      <c r="V207" s="7">
        <f>IF(OR(S207="",H207=""),"",S207*H207-1)</f>
        <v/>
      </c>
      <c r="W207" s="2">
        <f>IF(E207="","",ROUND(100*(0.22*I207+0.18*J207+0.18*K207+0.10*L207+0.08*M207+0.06*N207+0.06*O207+0.04*P207+0.04*Q207+0.04*MIN(R207/10,1)),0))</f>
        <v/>
      </c>
      <c r="X207" s="2">
        <f>IF(W207="","",IF(W207&gt;=CONFIG!$B$11,"FUERTE",IF(W207&gt;=CONFIG!$B$12,"MEDIA","BAJA")))</f>
        <v/>
      </c>
      <c r="Y207" s="2">
        <f>IF(OR(H207="",S207=""),"",IF(OR(H207&lt;CONFIG!$B$2,H207&gt;CONFIG!$B$3),"NO APTO",IF(S207&lt;IF(H207&lt;1.6,CONFIG!$B$4,IF(H207&lt;1.7,CONFIG!$B$5,IF(H207&lt;1.8,CONFIG!$B$6,IF(H207&lt;2,CONFIG!$B$7,IF(H207&lt;2.2,CONFIG!$B$8,CONFIG!$B$9))))),"NO APTO",IF(V207&lt;CONFIG!$B$10,"NO APTO",IF(AND(W207&gt;=CONFIG!$B$11,R207&gt;=CONFIG!$B$13),"ALERTA FUERTE",IF(AND(W207&gt;=CONFIG!$B$12,R207&gt;=CONFIG!$B$13),"ALERTA MEDIA","NO APTO"))))))</f>
        <v/>
      </c>
      <c r="Z207" s="2">
        <f>IF(Y207="","",IF(Y207="NO APTO","Revisar cuota/probabilidad/EV/puntuación/muestra",IF(Y207="ALERTA FUERTE","Cumple filtros de cuota + probabilidad + EV + confianza + muestra","Cumple filtros, pero confianza inferior a FUERTE")))</f>
        <v/>
      </c>
    </row>
    <row r="208">
      <c r="A208" s="2">
        <f>IF(E208="","",ROW()-1)</f>
        <v/>
      </c>
      <c r="B208" s="2" t="inlineStr">
        <is>
          <t>2026-08-19</t>
        </is>
      </c>
      <c r="C208" s="2" t="inlineStr">
        <is>
          <t>11:30</t>
        </is>
      </c>
      <c r="D208" s="2" t="inlineStr">
        <is>
          <t>King's Cup</t>
        </is>
      </c>
      <c r="E208" s="2" t="inlineStr">
        <is>
          <t>Jeddah Club vs Al Kholood</t>
        </is>
      </c>
      <c r="F208" s="2" t="inlineStr">
        <is>
          <t>PENDIENTE</t>
        </is>
      </c>
      <c r="G208" s="2" t="inlineStr">
        <is>
          <t>SELECCIONAR MERCADO</t>
        </is>
      </c>
      <c r="H208" s="6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2" t="n"/>
      <c r="S208" s="7" t="n"/>
      <c r="T208" s="7">
        <f>IFERROR(1/H208,"")</f>
        <v/>
      </c>
      <c r="U208" s="7">
        <f>IF(OR(S208="",T208=""),"",S208-T208)</f>
        <v/>
      </c>
      <c r="V208" s="7">
        <f>IF(OR(S208="",H208=""),"",S208*H208-1)</f>
        <v/>
      </c>
      <c r="W208" s="2">
        <f>IF(E208="","",ROUND(100*(0.22*I208+0.18*J208+0.18*K208+0.10*L208+0.08*M208+0.06*N208+0.06*O208+0.04*P208+0.04*Q208+0.04*MIN(R208/10,1)),0))</f>
        <v/>
      </c>
      <c r="X208" s="2">
        <f>IF(W208="","",IF(W208&gt;=CONFIG!$B$11,"FUERTE",IF(W208&gt;=CONFIG!$B$12,"MEDIA","BAJA")))</f>
        <v/>
      </c>
      <c r="Y208" s="2">
        <f>IF(OR(H208="",S208=""),"",IF(OR(H208&lt;CONFIG!$B$2,H208&gt;CONFIG!$B$3),"NO APTO",IF(S208&lt;IF(H208&lt;1.6,CONFIG!$B$4,IF(H208&lt;1.7,CONFIG!$B$5,IF(H208&lt;1.8,CONFIG!$B$6,IF(H208&lt;2,CONFIG!$B$7,IF(H208&lt;2.2,CONFIG!$B$8,CONFIG!$B$9))))),"NO APTO",IF(V208&lt;CONFIG!$B$10,"NO APTO",IF(AND(W208&gt;=CONFIG!$B$11,R208&gt;=CONFIG!$B$13),"ALERTA FUERTE",IF(AND(W208&gt;=CONFIG!$B$12,R208&gt;=CONFIG!$B$13),"ALERTA MEDIA","NO APTO"))))))</f>
        <v/>
      </c>
      <c r="Z208" s="2">
        <f>IF(Y208="","",IF(Y208="NO APTO","Revisar cuota/probabilidad/EV/puntuación/muestra",IF(Y208="ALERTA FUERTE","Cumple filtros de cuota + probabilidad + EV + confianza + muestra","Cumple filtros, pero confianza inferior a FUERTE")))</f>
        <v/>
      </c>
    </row>
    <row r="209">
      <c r="A209" s="2">
        <f>IF(E209="","",ROW()-1)</f>
        <v/>
      </c>
      <c r="B209" s="2" t="inlineStr">
        <is>
          <t>2026-08-19</t>
        </is>
      </c>
      <c r="C209" s="2" t="inlineStr">
        <is>
          <t>11:30</t>
        </is>
      </c>
      <c r="D209" s="2" t="inlineStr">
        <is>
          <t>1. Liga Promotion</t>
        </is>
      </c>
      <c r="E209" s="2" t="inlineStr">
        <is>
          <t>Zürich II vs Amical Saint-Prex</t>
        </is>
      </c>
      <c r="F209" s="2" t="inlineStr">
        <is>
          <t>PENDIENTE</t>
        </is>
      </c>
      <c r="G209" s="2" t="inlineStr">
        <is>
          <t>SELECCIONAR MERCADO</t>
        </is>
      </c>
      <c r="H209" s="6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2" t="n"/>
      <c r="S209" s="7" t="n"/>
      <c r="T209" s="7">
        <f>IFERROR(1/H209,"")</f>
        <v/>
      </c>
      <c r="U209" s="7">
        <f>IF(OR(S209="",T209=""),"",S209-T209)</f>
        <v/>
      </c>
      <c r="V209" s="7">
        <f>IF(OR(S209="",H209=""),"",S209*H209-1)</f>
        <v/>
      </c>
      <c r="W209" s="2">
        <f>IF(E209="","",ROUND(100*(0.22*I209+0.18*J209+0.18*K209+0.10*L209+0.08*M209+0.06*N209+0.06*O209+0.04*P209+0.04*Q209+0.04*MIN(R209/10,1)),0))</f>
        <v/>
      </c>
      <c r="X209" s="2">
        <f>IF(W209="","",IF(W209&gt;=CONFIG!$B$11,"FUERTE",IF(W209&gt;=CONFIG!$B$12,"MEDIA","BAJA")))</f>
        <v/>
      </c>
      <c r="Y209" s="2">
        <f>IF(OR(H209="",S209=""),"",IF(OR(H209&lt;CONFIG!$B$2,H209&gt;CONFIG!$B$3),"NO APTO",IF(S209&lt;IF(H209&lt;1.6,CONFIG!$B$4,IF(H209&lt;1.7,CONFIG!$B$5,IF(H209&lt;1.8,CONFIG!$B$6,IF(H209&lt;2,CONFIG!$B$7,IF(H209&lt;2.2,CONFIG!$B$8,CONFIG!$B$9))))),"NO APTO",IF(V209&lt;CONFIG!$B$10,"NO APTO",IF(AND(W209&gt;=CONFIG!$B$11,R209&gt;=CONFIG!$B$13),"ALERTA FUERTE",IF(AND(W209&gt;=CONFIG!$B$12,R209&gt;=CONFIG!$B$13),"ALERTA MEDIA","NO APTO"))))))</f>
        <v/>
      </c>
      <c r="Z209" s="2">
        <f>IF(Y209="","",IF(Y209="NO APTO","Revisar cuota/probabilidad/EV/puntuación/muestra",IF(Y209="ALERTA FUERTE","Cumple filtros de cuota + probabilidad + EV + confianza + muestra","Cumple filtros, pero confianza inferior a FUERTE")))</f>
        <v/>
      </c>
    </row>
    <row r="210">
      <c r="A210" s="2">
        <f>IF(E210="","",ROW()-1)</f>
        <v/>
      </c>
      <c r="B210" s="2" t="inlineStr">
        <is>
          <t>2026-08-19</t>
        </is>
      </c>
      <c r="C210" s="2" t="inlineStr">
        <is>
          <t>11:30</t>
        </is>
      </c>
      <c r="D210" s="2" t="inlineStr">
        <is>
          <t>First League</t>
        </is>
      </c>
      <c r="E210" s="2" t="inlineStr">
        <is>
          <t>Veles vs Nizhny Novgorod</t>
        </is>
      </c>
      <c r="F210" s="2" t="inlineStr">
        <is>
          <t>PENDIENTE</t>
        </is>
      </c>
      <c r="G210" s="2" t="inlineStr">
        <is>
          <t>SELECCIONAR MERCADO</t>
        </is>
      </c>
      <c r="H210" s="6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2" t="n"/>
      <c r="S210" s="7" t="n"/>
      <c r="T210" s="7">
        <f>IFERROR(1/H210,"")</f>
        <v/>
      </c>
      <c r="U210" s="7">
        <f>IF(OR(S210="",T210=""),"",S210-T210)</f>
        <v/>
      </c>
      <c r="V210" s="7">
        <f>IF(OR(S210="",H210=""),"",S210*H210-1)</f>
        <v/>
      </c>
      <c r="W210" s="2">
        <f>IF(E210="","",ROUND(100*(0.22*I210+0.18*J210+0.18*K210+0.10*L210+0.08*M210+0.06*N210+0.06*O210+0.04*P210+0.04*Q210+0.04*MIN(R210/10,1)),0))</f>
        <v/>
      </c>
      <c r="X210" s="2">
        <f>IF(W210="","",IF(W210&gt;=CONFIG!$B$11,"FUERTE",IF(W210&gt;=CONFIG!$B$12,"MEDIA","BAJA")))</f>
        <v/>
      </c>
      <c r="Y210" s="2">
        <f>IF(OR(H210="",S210=""),"",IF(OR(H210&lt;CONFIG!$B$2,H210&gt;CONFIG!$B$3),"NO APTO",IF(S210&lt;IF(H210&lt;1.6,CONFIG!$B$4,IF(H210&lt;1.7,CONFIG!$B$5,IF(H210&lt;1.8,CONFIG!$B$6,IF(H210&lt;2,CONFIG!$B$7,IF(H210&lt;2.2,CONFIG!$B$8,CONFIG!$B$9))))),"NO APTO",IF(V210&lt;CONFIG!$B$10,"NO APTO",IF(AND(W210&gt;=CONFIG!$B$11,R210&gt;=CONFIG!$B$13),"ALERTA FUERTE",IF(AND(W210&gt;=CONFIG!$B$12,R210&gt;=CONFIG!$B$13),"ALERTA MEDIA","NO APTO"))))))</f>
        <v/>
      </c>
      <c r="Z210" s="2">
        <f>IF(Y210="","",IF(Y210="NO APTO","Revisar cuota/probabilidad/EV/puntuación/muestra",IF(Y210="ALERTA FUERTE","Cumple filtros de cuota + probabilidad + EV + confianza + muestra","Cumple filtros, pero confianza inferior a FUERTE")))</f>
        <v/>
      </c>
    </row>
    <row r="211">
      <c r="A211" s="2">
        <f>IF(E211="","",ROW()-1)</f>
        <v/>
      </c>
      <c r="B211" s="2" t="inlineStr">
        <is>
          <t>2026-08-19</t>
        </is>
      </c>
      <c r="C211" s="2" t="inlineStr">
        <is>
          <t>11:30</t>
        </is>
      </c>
      <c r="D211" s="2" t="inlineStr">
        <is>
          <t>Regionalliga - Nord</t>
        </is>
      </c>
      <c r="E211" s="2" t="inlineStr">
        <is>
          <t>Werder Bremen II vs Weiche Flensburg</t>
        </is>
      </c>
      <c r="F211" s="2" t="inlineStr">
        <is>
          <t>PENDIENTE</t>
        </is>
      </c>
      <c r="G211" s="2" t="inlineStr">
        <is>
          <t>SELECCIONAR MERCADO</t>
        </is>
      </c>
      <c r="H211" s="6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2" t="n"/>
      <c r="S211" s="7" t="n"/>
      <c r="T211" s="7">
        <f>IFERROR(1/H211,"")</f>
        <v/>
      </c>
      <c r="U211" s="7">
        <f>IF(OR(S211="",T211=""),"",S211-T211)</f>
        <v/>
      </c>
      <c r="V211" s="7">
        <f>IF(OR(S211="",H211=""),"",S211*H211-1)</f>
        <v/>
      </c>
      <c r="W211" s="2">
        <f>IF(E211="","",ROUND(100*(0.22*I211+0.18*J211+0.18*K211+0.10*L211+0.08*M211+0.06*N211+0.06*O211+0.04*P211+0.04*Q211+0.04*MIN(R211/10,1)),0))</f>
        <v/>
      </c>
      <c r="X211" s="2">
        <f>IF(W211="","",IF(W211&gt;=CONFIG!$B$11,"FUERTE",IF(W211&gt;=CONFIG!$B$12,"MEDIA","BAJA")))</f>
        <v/>
      </c>
      <c r="Y211" s="2">
        <f>IF(OR(H211="",S211=""),"",IF(OR(H211&lt;CONFIG!$B$2,H211&gt;CONFIG!$B$3),"NO APTO",IF(S211&lt;IF(H211&lt;1.6,CONFIG!$B$4,IF(H211&lt;1.7,CONFIG!$B$5,IF(H211&lt;1.8,CONFIG!$B$6,IF(H211&lt;2,CONFIG!$B$7,IF(H211&lt;2.2,CONFIG!$B$8,CONFIG!$B$9))))),"NO APTO",IF(V211&lt;CONFIG!$B$10,"NO APTO",IF(AND(W211&gt;=CONFIG!$B$11,R211&gt;=CONFIG!$B$13),"ALERTA FUERTE",IF(AND(W211&gt;=CONFIG!$B$12,R211&gt;=CONFIG!$B$13),"ALERTA MEDIA","NO APTO"))))))</f>
        <v/>
      </c>
      <c r="Z211" s="2">
        <f>IF(Y211="","",IF(Y211="NO APTO","Revisar cuota/probabilidad/EV/puntuación/muestra",IF(Y211="ALERTA FUERTE","Cumple filtros de cuota + probabilidad + EV + confianza + muestra","Cumple filtros, pero confianza inferior a FUERTE")))</f>
        <v/>
      </c>
    </row>
    <row r="212">
      <c r="A212" s="2">
        <f>IF(E212="","",ROW()-1)</f>
        <v/>
      </c>
      <c r="B212" s="2" t="inlineStr">
        <is>
          <t>2026-08-19</t>
        </is>
      </c>
      <c r="C212" s="2" t="inlineStr">
        <is>
          <t>11:30</t>
        </is>
      </c>
      <c r="D212" s="2" t="inlineStr">
        <is>
          <t>U19 Bundesliga</t>
        </is>
      </c>
      <c r="E212" s="2" t="inlineStr">
        <is>
          <t>Augsburg U19 vs Ulm U19</t>
        </is>
      </c>
      <c r="F212" s="2" t="inlineStr">
        <is>
          <t>PENDIENTE</t>
        </is>
      </c>
      <c r="G212" s="2" t="inlineStr">
        <is>
          <t>SELECCIONAR MERCADO</t>
        </is>
      </c>
      <c r="H212" s="6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2" t="n"/>
      <c r="S212" s="7" t="n"/>
      <c r="T212" s="7">
        <f>IFERROR(1/H212,"")</f>
        <v/>
      </c>
      <c r="U212" s="7">
        <f>IF(OR(S212="",T212=""),"",S212-T212)</f>
        <v/>
      </c>
      <c r="V212" s="7">
        <f>IF(OR(S212="",H212=""),"",S212*H212-1)</f>
        <v/>
      </c>
      <c r="W212" s="2">
        <f>IF(E212="","",ROUND(100*(0.22*I212+0.18*J212+0.18*K212+0.10*L212+0.08*M212+0.06*N212+0.06*O212+0.04*P212+0.04*Q212+0.04*MIN(R212/10,1)),0))</f>
        <v/>
      </c>
      <c r="X212" s="2">
        <f>IF(W212="","",IF(W212&gt;=CONFIG!$B$11,"FUERTE",IF(W212&gt;=CONFIG!$B$12,"MEDIA","BAJA")))</f>
        <v/>
      </c>
      <c r="Y212" s="2">
        <f>IF(OR(H212="",S212=""),"",IF(OR(H212&lt;CONFIG!$B$2,H212&gt;CONFIG!$B$3),"NO APTO",IF(S212&lt;IF(H212&lt;1.6,CONFIG!$B$4,IF(H212&lt;1.7,CONFIG!$B$5,IF(H212&lt;1.8,CONFIG!$B$6,IF(H212&lt;2,CONFIG!$B$7,IF(H212&lt;2.2,CONFIG!$B$8,CONFIG!$B$9))))),"NO APTO",IF(V212&lt;CONFIG!$B$10,"NO APTO",IF(AND(W212&gt;=CONFIG!$B$11,R212&gt;=CONFIG!$B$13),"ALERTA FUERTE",IF(AND(W212&gt;=CONFIG!$B$12,R212&gt;=CONFIG!$B$13),"ALERTA MEDIA","NO APTO"))))))</f>
        <v/>
      </c>
      <c r="Z212" s="2">
        <f>IF(Y212="","",IF(Y212="NO APTO","Revisar cuota/probabilidad/EV/puntuación/muestra",IF(Y212="ALERTA FUERTE","Cumple filtros de cuota + probabilidad + EV + confianza + muestra","Cumple filtros, pero confianza inferior a FUERTE")))</f>
        <v/>
      </c>
    </row>
    <row r="213">
      <c r="A213" s="2">
        <f>IF(E213="","",ROW()-1)</f>
        <v/>
      </c>
      <c r="B213" s="2" t="inlineStr">
        <is>
          <t>2026-08-19</t>
        </is>
      </c>
      <c r="C213" s="2" t="inlineStr">
        <is>
          <t>11:30</t>
        </is>
      </c>
      <c r="D213" s="2" t="inlineStr">
        <is>
          <t>U19 Bundesliga</t>
        </is>
      </c>
      <c r="E213" s="2" t="inlineStr">
        <is>
          <t>Borussia M'bach U19 vs Bayer Leverkusen U19</t>
        </is>
      </c>
      <c r="F213" s="2" t="inlineStr">
        <is>
          <t>PENDIENTE</t>
        </is>
      </c>
      <c r="G213" s="2" t="inlineStr">
        <is>
          <t>SELECCIONAR MERCADO</t>
        </is>
      </c>
      <c r="H213" s="6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2" t="n"/>
      <c r="S213" s="7" t="n"/>
      <c r="T213" s="7">
        <f>IFERROR(1/H213,"")</f>
        <v/>
      </c>
      <c r="U213" s="7">
        <f>IF(OR(S213="",T213=""),"",S213-T213)</f>
        <v/>
      </c>
      <c r="V213" s="7">
        <f>IF(OR(S213="",H213=""),"",S213*H213-1)</f>
        <v/>
      </c>
      <c r="W213" s="2">
        <f>IF(E213="","",ROUND(100*(0.22*I213+0.18*J213+0.18*K213+0.10*L213+0.08*M213+0.06*N213+0.06*O213+0.04*P213+0.04*Q213+0.04*MIN(R213/10,1)),0))</f>
        <v/>
      </c>
      <c r="X213" s="2">
        <f>IF(W213="","",IF(W213&gt;=CONFIG!$B$11,"FUERTE",IF(W213&gt;=CONFIG!$B$12,"MEDIA","BAJA")))</f>
        <v/>
      </c>
      <c r="Y213" s="2">
        <f>IF(OR(H213="",S213=""),"",IF(OR(H213&lt;CONFIG!$B$2,H213&gt;CONFIG!$B$3),"NO APTO",IF(S213&lt;IF(H213&lt;1.6,CONFIG!$B$4,IF(H213&lt;1.7,CONFIG!$B$5,IF(H213&lt;1.8,CONFIG!$B$6,IF(H213&lt;2,CONFIG!$B$7,IF(H213&lt;2.2,CONFIG!$B$8,CONFIG!$B$9))))),"NO APTO",IF(V213&lt;CONFIG!$B$10,"NO APTO",IF(AND(W213&gt;=CONFIG!$B$11,R213&gt;=CONFIG!$B$13),"ALERTA FUERTE",IF(AND(W213&gt;=CONFIG!$B$12,R213&gt;=CONFIG!$B$13),"ALERTA MEDIA","NO APTO"))))))</f>
        <v/>
      </c>
      <c r="Z213" s="2">
        <f>IF(Y213="","",IF(Y213="NO APTO","Revisar cuota/probabilidad/EV/puntuación/muestra",IF(Y213="ALERTA FUERTE","Cumple filtros de cuota + probabilidad + EV + confianza + muestra","Cumple filtros, pero confianza inferior a FUERTE")))</f>
        <v/>
      </c>
    </row>
    <row r="214">
      <c r="A214" s="2">
        <f>IF(E214="","",ROW()-1)</f>
        <v/>
      </c>
      <c r="B214" s="2" t="inlineStr">
        <is>
          <t>2026-08-19</t>
        </is>
      </c>
      <c r="C214" s="2" t="inlineStr">
        <is>
          <t>11:30</t>
        </is>
      </c>
      <c r="D214" s="2" t="inlineStr">
        <is>
          <t>U19 Bundesliga</t>
        </is>
      </c>
      <c r="E214" s="2" t="inlineStr">
        <is>
          <t>Fortuna Köln U19 vs Köln U19</t>
        </is>
      </c>
      <c r="F214" s="2" t="inlineStr">
        <is>
          <t>PENDIENTE</t>
        </is>
      </c>
      <c r="G214" s="2" t="inlineStr">
        <is>
          <t>SELECCIONAR MERCADO</t>
        </is>
      </c>
      <c r="H214" s="6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2" t="n"/>
      <c r="S214" s="7" t="n"/>
      <c r="T214" s="7">
        <f>IFERROR(1/H214,"")</f>
        <v/>
      </c>
      <c r="U214" s="7">
        <f>IF(OR(S214="",T214=""),"",S214-T214)</f>
        <v/>
      </c>
      <c r="V214" s="7">
        <f>IF(OR(S214="",H214=""),"",S214*H214-1)</f>
        <v/>
      </c>
      <c r="W214" s="2">
        <f>IF(E214="","",ROUND(100*(0.22*I214+0.18*J214+0.18*K214+0.10*L214+0.08*M214+0.06*N214+0.06*O214+0.04*P214+0.04*Q214+0.04*MIN(R214/10,1)),0))</f>
        <v/>
      </c>
      <c r="X214" s="2">
        <f>IF(W214="","",IF(W214&gt;=CONFIG!$B$11,"FUERTE",IF(W214&gt;=CONFIG!$B$12,"MEDIA","BAJA")))</f>
        <v/>
      </c>
      <c r="Y214" s="2">
        <f>IF(OR(H214="",S214=""),"",IF(OR(H214&lt;CONFIG!$B$2,H214&gt;CONFIG!$B$3),"NO APTO",IF(S214&lt;IF(H214&lt;1.6,CONFIG!$B$4,IF(H214&lt;1.7,CONFIG!$B$5,IF(H214&lt;1.8,CONFIG!$B$6,IF(H214&lt;2,CONFIG!$B$7,IF(H214&lt;2.2,CONFIG!$B$8,CONFIG!$B$9))))),"NO APTO",IF(V214&lt;CONFIG!$B$10,"NO APTO",IF(AND(W214&gt;=CONFIG!$B$11,R214&gt;=CONFIG!$B$13),"ALERTA FUERTE",IF(AND(W214&gt;=CONFIG!$B$12,R214&gt;=CONFIG!$B$13),"ALERTA MEDIA","NO APTO"))))))</f>
        <v/>
      </c>
      <c r="Z214" s="2">
        <f>IF(Y214="","",IF(Y214="NO APTO","Revisar cuota/probabilidad/EV/puntuación/muestra",IF(Y214="ALERTA FUERTE","Cumple filtros de cuota + probabilidad + EV + confianza + muestra","Cumple filtros, pero confianza inferior a FUERTE")))</f>
        <v/>
      </c>
    </row>
    <row r="215">
      <c r="A215" s="2">
        <f>IF(E215="","",ROW()-1)</f>
        <v/>
      </c>
      <c r="B215" s="2" t="inlineStr">
        <is>
          <t>2026-08-19</t>
        </is>
      </c>
      <c r="C215" s="2" t="inlineStr">
        <is>
          <t>11:30</t>
        </is>
      </c>
      <c r="D215" s="2" t="inlineStr">
        <is>
          <t>U19 Bundesliga</t>
        </is>
      </c>
      <c r="E215" s="2" t="inlineStr">
        <is>
          <t>FSV Frankfurt U19 vs Darmstadt 98 U19</t>
        </is>
      </c>
      <c r="F215" s="2" t="inlineStr">
        <is>
          <t>PENDIENTE</t>
        </is>
      </c>
      <c r="G215" s="2" t="inlineStr">
        <is>
          <t>SELECCIONAR MERCADO</t>
        </is>
      </c>
      <c r="H215" s="6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2" t="n"/>
      <c r="S215" s="7" t="n"/>
      <c r="T215" s="7">
        <f>IFERROR(1/H215,"")</f>
        <v/>
      </c>
      <c r="U215" s="7">
        <f>IF(OR(S215="",T215=""),"",S215-T215)</f>
        <v/>
      </c>
      <c r="V215" s="7">
        <f>IF(OR(S215="",H215=""),"",S215*H215-1)</f>
        <v/>
      </c>
      <c r="W215" s="2">
        <f>IF(E215="","",ROUND(100*(0.22*I215+0.18*J215+0.18*K215+0.10*L215+0.08*M215+0.06*N215+0.06*O215+0.04*P215+0.04*Q215+0.04*MIN(R215/10,1)),0))</f>
        <v/>
      </c>
      <c r="X215" s="2">
        <f>IF(W215="","",IF(W215&gt;=CONFIG!$B$11,"FUERTE",IF(W215&gt;=CONFIG!$B$12,"MEDIA","BAJA")))</f>
        <v/>
      </c>
      <c r="Y215" s="2">
        <f>IF(OR(H215="",S215=""),"",IF(OR(H215&lt;CONFIG!$B$2,H215&gt;CONFIG!$B$3),"NO APTO",IF(S215&lt;IF(H215&lt;1.6,CONFIG!$B$4,IF(H215&lt;1.7,CONFIG!$B$5,IF(H215&lt;1.8,CONFIG!$B$6,IF(H215&lt;2,CONFIG!$B$7,IF(H215&lt;2.2,CONFIG!$B$8,CONFIG!$B$9))))),"NO APTO",IF(V215&lt;CONFIG!$B$10,"NO APTO",IF(AND(W215&gt;=CONFIG!$B$11,R215&gt;=CONFIG!$B$13),"ALERTA FUERTE",IF(AND(W215&gt;=CONFIG!$B$12,R215&gt;=CONFIG!$B$13),"ALERTA MEDIA","NO APTO"))))))</f>
        <v/>
      </c>
      <c r="Z215" s="2">
        <f>IF(Y215="","",IF(Y215="NO APTO","Revisar cuota/probabilidad/EV/puntuación/muestra",IF(Y215="ALERTA FUERTE","Cumple filtros de cuota + probabilidad + EV + confianza + muestra","Cumple filtros, pero confianza inferior a FUERTE")))</f>
        <v/>
      </c>
    </row>
    <row r="216">
      <c r="A216" s="2">
        <f>IF(E216="","",ROW()-1)</f>
        <v/>
      </c>
      <c r="B216" s="2" t="inlineStr">
        <is>
          <t>2026-08-19</t>
        </is>
      </c>
      <c r="C216" s="2" t="inlineStr">
        <is>
          <t>11:30</t>
        </is>
      </c>
      <c r="D216" s="2" t="inlineStr">
        <is>
          <t>U19 Bundesliga</t>
        </is>
      </c>
      <c r="E216" s="2" t="inlineStr">
        <is>
          <t>Hallescher FC U19 vs Energie Cottbus U19</t>
        </is>
      </c>
      <c r="F216" s="2" t="inlineStr">
        <is>
          <t>PENDIENTE</t>
        </is>
      </c>
      <c r="G216" s="2" t="inlineStr">
        <is>
          <t>SELECCIONAR MERCADO</t>
        </is>
      </c>
      <c r="H216" s="6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2" t="n"/>
      <c r="S216" s="7" t="n"/>
      <c r="T216" s="7">
        <f>IFERROR(1/H216,"")</f>
        <v/>
      </c>
      <c r="U216" s="7">
        <f>IF(OR(S216="",T216=""),"",S216-T216)</f>
        <v/>
      </c>
      <c r="V216" s="7">
        <f>IF(OR(S216="",H216=""),"",S216*H216-1)</f>
        <v/>
      </c>
      <c r="W216" s="2">
        <f>IF(E216="","",ROUND(100*(0.22*I216+0.18*J216+0.18*K216+0.10*L216+0.08*M216+0.06*N216+0.06*O216+0.04*P216+0.04*Q216+0.04*MIN(R216/10,1)),0))</f>
        <v/>
      </c>
      <c r="X216" s="2">
        <f>IF(W216="","",IF(W216&gt;=CONFIG!$B$11,"FUERTE",IF(W216&gt;=CONFIG!$B$12,"MEDIA","BAJA")))</f>
        <v/>
      </c>
      <c r="Y216" s="2">
        <f>IF(OR(H216="",S216=""),"",IF(OR(H216&lt;CONFIG!$B$2,H216&gt;CONFIG!$B$3),"NO APTO",IF(S216&lt;IF(H216&lt;1.6,CONFIG!$B$4,IF(H216&lt;1.7,CONFIG!$B$5,IF(H216&lt;1.8,CONFIG!$B$6,IF(H216&lt;2,CONFIG!$B$7,IF(H216&lt;2.2,CONFIG!$B$8,CONFIG!$B$9))))),"NO APTO",IF(V216&lt;CONFIG!$B$10,"NO APTO",IF(AND(W216&gt;=CONFIG!$B$11,R216&gt;=CONFIG!$B$13),"ALERTA FUERTE",IF(AND(W216&gt;=CONFIG!$B$12,R216&gt;=CONFIG!$B$13),"ALERTA MEDIA","NO APTO"))))))</f>
        <v/>
      </c>
      <c r="Z216" s="2">
        <f>IF(Y216="","",IF(Y216="NO APTO","Revisar cuota/probabilidad/EV/puntuación/muestra",IF(Y216="ALERTA FUERTE","Cumple filtros de cuota + probabilidad + EV + confianza + muestra","Cumple filtros, pero confianza inferior a FUERTE")))</f>
        <v/>
      </c>
    </row>
    <row r="217">
      <c r="A217" s="2">
        <f>IF(E217="","",ROW()-1)</f>
        <v/>
      </c>
      <c r="B217" s="2" t="inlineStr">
        <is>
          <t>2026-08-19</t>
        </is>
      </c>
      <c r="C217" s="2" t="inlineStr">
        <is>
          <t>11:30</t>
        </is>
      </c>
      <c r="D217" s="2" t="inlineStr">
        <is>
          <t>U19 Bundesliga</t>
        </is>
      </c>
      <c r="E217" s="2" t="inlineStr">
        <is>
          <t>1860 München U19 vs SGV Freiberg Fussball U19</t>
        </is>
      </c>
      <c r="F217" s="2" t="inlineStr">
        <is>
          <t>PENDIENTE</t>
        </is>
      </c>
      <c r="G217" s="2" t="inlineStr">
        <is>
          <t>SELECCIONAR MERCADO</t>
        </is>
      </c>
      <c r="H217" s="6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2" t="n"/>
      <c r="S217" s="7" t="n"/>
      <c r="T217" s="7">
        <f>IFERROR(1/H217,"")</f>
        <v/>
      </c>
      <c r="U217" s="7">
        <f>IF(OR(S217="",T217=""),"",S217-T217)</f>
        <v/>
      </c>
      <c r="V217" s="7">
        <f>IF(OR(S217="",H217=""),"",S217*H217-1)</f>
        <v/>
      </c>
      <c r="W217" s="2">
        <f>IF(E217="","",ROUND(100*(0.22*I217+0.18*J217+0.18*K217+0.10*L217+0.08*M217+0.06*N217+0.06*O217+0.04*P217+0.04*Q217+0.04*MIN(R217/10,1)),0))</f>
        <v/>
      </c>
      <c r="X217" s="2">
        <f>IF(W217="","",IF(W217&gt;=CONFIG!$B$11,"FUERTE",IF(W217&gt;=CONFIG!$B$12,"MEDIA","BAJA")))</f>
        <v/>
      </c>
      <c r="Y217" s="2">
        <f>IF(OR(H217="",S217=""),"",IF(OR(H217&lt;CONFIG!$B$2,H217&gt;CONFIG!$B$3),"NO APTO",IF(S217&lt;IF(H217&lt;1.6,CONFIG!$B$4,IF(H217&lt;1.7,CONFIG!$B$5,IF(H217&lt;1.8,CONFIG!$B$6,IF(H217&lt;2,CONFIG!$B$7,IF(H217&lt;2.2,CONFIG!$B$8,CONFIG!$B$9))))),"NO APTO",IF(V217&lt;CONFIG!$B$10,"NO APTO",IF(AND(W217&gt;=CONFIG!$B$11,R217&gt;=CONFIG!$B$13),"ALERTA FUERTE",IF(AND(W217&gt;=CONFIG!$B$12,R217&gt;=CONFIG!$B$13),"ALERTA MEDIA","NO APTO"))))))</f>
        <v/>
      </c>
      <c r="Z217" s="2">
        <f>IF(Y217="","",IF(Y217="NO APTO","Revisar cuota/probabilidad/EV/puntuación/muestra",IF(Y217="ALERTA FUERTE","Cumple filtros de cuota + probabilidad + EV + confianza + muestra","Cumple filtros, pero confianza inferior a FUERTE")))</f>
        <v/>
      </c>
    </row>
    <row r="218">
      <c r="A218" s="2">
        <f>IF(E218="","",ROW()-1)</f>
        <v/>
      </c>
      <c r="B218" s="2" t="inlineStr">
        <is>
          <t>2026-08-19</t>
        </is>
      </c>
      <c r="C218" s="2" t="inlineStr">
        <is>
          <t>11:30</t>
        </is>
      </c>
      <c r="D218" s="2" t="inlineStr">
        <is>
          <t>U19 Bundesliga</t>
        </is>
      </c>
      <c r="E218" s="2" t="inlineStr">
        <is>
          <t>Paderborn U19 vs Hannover 96 U19</t>
        </is>
      </c>
      <c r="F218" s="2" t="inlineStr">
        <is>
          <t>PENDIENTE</t>
        </is>
      </c>
      <c r="G218" s="2" t="inlineStr">
        <is>
          <t>SELECCIONAR MERCADO</t>
        </is>
      </c>
      <c r="H218" s="6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2" t="n"/>
      <c r="S218" s="7" t="n"/>
      <c r="T218" s="7">
        <f>IFERROR(1/H218,"")</f>
        <v/>
      </c>
      <c r="U218" s="7">
        <f>IF(OR(S218="",T218=""),"",S218-T218)</f>
        <v/>
      </c>
      <c r="V218" s="7">
        <f>IF(OR(S218="",H218=""),"",S218*H218-1)</f>
        <v/>
      </c>
      <c r="W218" s="2">
        <f>IF(E218="","",ROUND(100*(0.22*I218+0.18*J218+0.18*K218+0.10*L218+0.08*M218+0.06*N218+0.06*O218+0.04*P218+0.04*Q218+0.04*MIN(R218/10,1)),0))</f>
        <v/>
      </c>
      <c r="X218" s="2">
        <f>IF(W218="","",IF(W218&gt;=CONFIG!$B$11,"FUERTE",IF(W218&gt;=CONFIG!$B$12,"MEDIA","BAJA")))</f>
        <v/>
      </c>
      <c r="Y218" s="2">
        <f>IF(OR(H218="",S218=""),"",IF(OR(H218&lt;CONFIG!$B$2,H218&gt;CONFIG!$B$3),"NO APTO",IF(S218&lt;IF(H218&lt;1.6,CONFIG!$B$4,IF(H218&lt;1.7,CONFIG!$B$5,IF(H218&lt;1.8,CONFIG!$B$6,IF(H218&lt;2,CONFIG!$B$7,IF(H218&lt;2.2,CONFIG!$B$8,CONFIG!$B$9))))),"NO APTO",IF(V218&lt;CONFIG!$B$10,"NO APTO",IF(AND(W218&gt;=CONFIG!$B$11,R218&gt;=CONFIG!$B$13),"ALERTA FUERTE",IF(AND(W218&gt;=CONFIG!$B$12,R218&gt;=CONFIG!$B$13),"ALERTA MEDIA","NO APTO"))))))</f>
        <v/>
      </c>
      <c r="Z218" s="2">
        <f>IF(Y218="","",IF(Y218="NO APTO","Revisar cuota/probabilidad/EV/puntuación/muestra",IF(Y218="ALERTA FUERTE","Cumple filtros de cuota + probabilidad + EV + confianza + muestra","Cumple filtros, pero confianza inferior a FUERTE")))</f>
        <v/>
      </c>
    </row>
    <row r="219">
      <c r="A219" s="2">
        <f>IF(E219="","",ROW()-1)</f>
        <v/>
      </c>
      <c r="B219" s="2" t="inlineStr">
        <is>
          <t>2026-08-19</t>
        </is>
      </c>
      <c r="C219" s="2" t="inlineStr">
        <is>
          <t>11:30</t>
        </is>
      </c>
      <c r="D219" s="2" t="inlineStr">
        <is>
          <t>U19 Bundesliga</t>
        </is>
      </c>
      <c r="E219" s="2" t="inlineStr">
        <is>
          <t>Jahn Regensburg U19 vs Unterhaching U19</t>
        </is>
      </c>
      <c r="F219" s="2" t="inlineStr">
        <is>
          <t>PENDIENTE</t>
        </is>
      </c>
      <c r="G219" s="2" t="inlineStr">
        <is>
          <t>SELECCIONAR MERCADO</t>
        </is>
      </c>
      <c r="H219" s="6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2" t="n"/>
      <c r="S219" s="7" t="n"/>
      <c r="T219" s="7">
        <f>IFERROR(1/H219,"")</f>
        <v/>
      </c>
      <c r="U219" s="7">
        <f>IF(OR(S219="",T219=""),"",S219-T219)</f>
        <v/>
      </c>
      <c r="V219" s="7">
        <f>IF(OR(S219="",H219=""),"",S219*H219-1)</f>
        <v/>
      </c>
      <c r="W219" s="2">
        <f>IF(E219="","",ROUND(100*(0.22*I219+0.18*J219+0.18*K219+0.10*L219+0.08*M219+0.06*N219+0.06*O219+0.04*P219+0.04*Q219+0.04*MIN(R219/10,1)),0))</f>
        <v/>
      </c>
      <c r="X219" s="2">
        <f>IF(W219="","",IF(W219&gt;=CONFIG!$B$11,"FUERTE",IF(W219&gt;=CONFIG!$B$12,"MEDIA","BAJA")))</f>
        <v/>
      </c>
      <c r="Y219" s="2">
        <f>IF(OR(H219="",S219=""),"",IF(OR(H219&lt;CONFIG!$B$2,H219&gt;CONFIG!$B$3),"NO APTO",IF(S219&lt;IF(H219&lt;1.6,CONFIG!$B$4,IF(H219&lt;1.7,CONFIG!$B$5,IF(H219&lt;1.8,CONFIG!$B$6,IF(H219&lt;2,CONFIG!$B$7,IF(H219&lt;2.2,CONFIG!$B$8,CONFIG!$B$9))))),"NO APTO",IF(V219&lt;CONFIG!$B$10,"NO APTO",IF(AND(W219&gt;=CONFIG!$B$11,R219&gt;=CONFIG!$B$13),"ALERTA FUERTE",IF(AND(W219&gt;=CONFIG!$B$12,R219&gt;=CONFIG!$B$13),"ALERTA MEDIA","NO APTO"))))))</f>
        <v/>
      </c>
      <c r="Z219" s="2">
        <f>IF(Y219="","",IF(Y219="NO APTO","Revisar cuota/probabilidad/EV/puntuación/muestra",IF(Y219="ALERTA FUERTE","Cumple filtros de cuota + probabilidad + EV + confianza + muestra","Cumple filtros, pero confianza inferior a FUERTE")))</f>
        <v/>
      </c>
    </row>
    <row r="220">
      <c r="A220" s="2">
        <f>IF(E220="","",ROW()-1)</f>
        <v/>
      </c>
      <c r="B220" s="2" t="inlineStr">
        <is>
          <t>2026-08-19</t>
        </is>
      </c>
      <c r="C220" s="2" t="inlineStr">
        <is>
          <t>11:30</t>
        </is>
      </c>
      <c r="D220" s="2" t="inlineStr">
        <is>
          <t>U19 Bundesliga</t>
        </is>
      </c>
      <c r="E220" s="2" t="inlineStr">
        <is>
          <t>Schalke 04 U19 vs Rot-Weiss Essen U19</t>
        </is>
      </c>
      <c r="F220" s="2" t="inlineStr">
        <is>
          <t>PENDIENTE</t>
        </is>
      </c>
      <c r="G220" s="2" t="inlineStr">
        <is>
          <t>SELECCIONAR MERCADO</t>
        </is>
      </c>
      <c r="H220" s="6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2" t="n"/>
      <c r="S220" s="7" t="n"/>
      <c r="T220" s="7">
        <f>IFERROR(1/H220,"")</f>
        <v/>
      </c>
      <c r="U220" s="7">
        <f>IF(OR(S220="",T220=""),"",S220-T220)</f>
        <v/>
      </c>
      <c r="V220" s="7">
        <f>IF(OR(S220="",H220=""),"",S220*H220-1)</f>
        <v/>
      </c>
      <c r="W220" s="2">
        <f>IF(E220="","",ROUND(100*(0.22*I220+0.18*J220+0.18*K220+0.10*L220+0.08*M220+0.06*N220+0.06*O220+0.04*P220+0.04*Q220+0.04*MIN(R220/10,1)),0))</f>
        <v/>
      </c>
      <c r="X220" s="2">
        <f>IF(W220="","",IF(W220&gt;=CONFIG!$B$11,"FUERTE",IF(W220&gt;=CONFIG!$B$12,"MEDIA","BAJA")))</f>
        <v/>
      </c>
      <c r="Y220" s="2">
        <f>IF(OR(H220="",S220=""),"",IF(OR(H220&lt;CONFIG!$B$2,H220&gt;CONFIG!$B$3),"NO APTO",IF(S220&lt;IF(H220&lt;1.6,CONFIG!$B$4,IF(H220&lt;1.7,CONFIG!$B$5,IF(H220&lt;1.8,CONFIG!$B$6,IF(H220&lt;2,CONFIG!$B$7,IF(H220&lt;2.2,CONFIG!$B$8,CONFIG!$B$9))))),"NO APTO",IF(V220&lt;CONFIG!$B$10,"NO APTO",IF(AND(W220&gt;=CONFIG!$B$11,R220&gt;=CONFIG!$B$13),"ALERTA FUERTE",IF(AND(W220&gt;=CONFIG!$B$12,R220&gt;=CONFIG!$B$13),"ALERTA MEDIA","NO APTO"))))))</f>
        <v/>
      </c>
      <c r="Z220" s="2">
        <f>IF(Y220="","",IF(Y220="NO APTO","Revisar cuota/probabilidad/EV/puntuación/muestra",IF(Y220="ALERTA FUERTE","Cumple filtros de cuota + probabilidad + EV + confianza + muestra","Cumple filtros, pero confianza inferior a FUERTE")))</f>
        <v/>
      </c>
    </row>
    <row r="221">
      <c r="A221" s="2">
        <f>IF(E221="","",ROW()-1)</f>
        <v/>
      </c>
      <c r="B221" s="2" t="inlineStr">
        <is>
          <t>2026-08-19</t>
        </is>
      </c>
      <c r="C221" s="2" t="inlineStr">
        <is>
          <t>11:30</t>
        </is>
      </c>
      <c r="D221" s="2" t="inlineStr">
        <is>
          <t>U19 Bundesliga</t>
        </is>
      </c>
      <c r="E221" s="2" t="inlineStr">
        <is>
          <t>Wehen Wiesbaden U19 vs Kaiserslautern U19</t>
        </is>
      </c>
      <c r="F221" s="2" t="inlineStr">
        <is>
          <t>PENDIENTE</t>
        </is>
      </c>
      <c r="G221" s="2" t="inlineStr">
        <is>
          <t>SELECCIONAR MERCADO</t>
        </is>
      </c>
      <c r="H221" s="6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2" t="n"/>
      <c r="S221" s="7" t="n"/>
      <c r="T221" s="7">
        <f>IFERROR(1/H221,"")</f>
        <v/>
      </c>
      <c r="U221" s="7">
        <f>IF(OR(S221="",T221=""),"",S221-T221)</f>
        <v/>
      </c>
      <c r="V221" s="7">
        <f>IF(OR(S221="",H221=""),"",S221*H221-1)</f>
        <v/>
      </c>
      <c r="W221" s="2">
        <f>IF(E221="","",ROUND(100*(0.22*I221+0.18*J221+0.18*K221+0.10*L221+0.08*M221+0.06*N221+0.06*O221+0.04*P221+0.04*Q221+0.04*MIN(R221/10,1)),0))</f>
        <v/>
      </c>
      <c r="X221" s="2">
        <f>IF(W221="","",IF(W221&gt;=CONFIG!$B$11,"FUERTE",IF(W221&gt;=CONFIG!$B$12,"MEDIA","BAJA")))</f>
        <v/>
      </c>
      <c r="Y221" s="2">
        <f>IF(OR(H221="",S221=""),"",IF(OR(H221&lt;CONFIG!$B$2,H221&gt;CONFIG!$B$3),"NO APTO",IF(S221&lt;IF(H221&lt;1.6,CONFIG!$B$4,IF(H221&lt;1.7,CONFIG!$B$5,IF(H221&lt;1.8,CONFIG!$B$6,IF(H221&lt;2,CONFIG!$B$7,IF(H221&lt;2.2,CONFIG!$B$8,CONFIG!$B$9))))),"NO APTO",IF(V221&lt;CONFIG!$B$10,"NO APTO",IF(AND(W221&gt;=CONFIG!$B$11,R221&gt;=CONFIG!$B$13),"ALERTA FUERTE",IF(AND(W221&gt;=CONFIG!$B$12,R221&gt;=CONFIG!$B$13),"ALERTA MEDIA","NO APTO"))))))</f>
        <v/>
      </c>
      <c r="Z221" s="2">
        <f>IF(Y221="","",IF(Y221="NO APTO","Revisar cuota/probabilidad/EV/puntuación/muestra",IF(Y221="ALERTA FUERTE","Cumple filtros de cuota + probabilidad + EV + confianza + muestra","Cumple filtros, pero confianza inferior a FUERTE")))</f>
        <v/>
      </c>
    </row>
    <row r="222">
      <c r="A222" s="2">
        <f>IF(E222="","",ROW()-1)</f>
        <v/>
      </c>
      <c r="B222" s="2" t="inlineStr">
        <is>
          <t>2026-08-19</t>
        </is>
      </c>
      <c r="C222" s="2" t="inlineStr">
        <is>
          <t>11:30</t>
        </is>
      </c>
      <c r="D222" s="2" t="inlineStr">
        <is>
          <t>Cup</t>
        </is>
      </c>
      <c r="E222" s="2" t="inlineStr">
        <is>
          <t>Spartak Trnava vs Trenčianske Stankovce</t>
        </is>
      </c>
      <c r="F222" s="2" t="inlineStr">
        <is>
          <t>PENDIENTE</t>
        </is>
      </c>
      <c r="G222" s="2" t="inlineStr">
        <is>
          <t>SELECCIONAR MERCADO</t>
        </is>
      </c>
      <c r="H222" s="6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2" t="n"/>
      <c r="S222" s="7" t="n"/>
      <c r="T222" s="7">
        <f>IFERROR(1/H222,"")</f>
        <v/>
      </c>
      <c r="U222" s="7">
        <f>IF(OR(S222="",T222=""),"",S222-T222)</f>
        <v/>
      </c>
      <c r="V222" s="7">
        <f>IF(OR(S222="",H222=""),"",S222*H222-1)</f>
        <v/>
      </c>
      <c r="W222" s="2">
        <f>IF(E222="","",ROUND(100*(0.22*I222+0.18*J222+0.18*K222+0.10*L222+0.08*M222+0.06*N222+0.06*O222+0.04*P222+0.04*Q222+0.04*MIN(R222/10,1)),0))</f>
        <v/>
      </c>
      <c r="X222" s="2">
        <f>IF(W222="","",IF(W222&gt;=CONFIG!$B$11,"FUERTE",IF(W222&gt;=CONFIG!$B$12,"MEDIA","BAJA")))</f>
        <v/>
      </c>
      <c r="Y222" s="2">
        <f>IF(OR(H222="",S222=""),"",IF(OR(H222&lt;CONFIG!$B$2,H222&gt;CONFIG!$B$3),"NO APTO",IF(S222&lt;IF(H222&lt;1.6,CONFIG!$B$4,IF(H222&lt;1.7,CONFIG!$B$5,IF(H222&lt;1.8,CONFIG!$B$6,IF(H222&lt;2,CONFIG!$B$7,IF(H222&lt;2.2,CONFIG!$B$8,CONFIG!$B$9))))),"NO APTO",IF(V222&lt;CONFIG!$B$10,"NO APTO",IF(AND(W222&gt;=CONFIG!$B$11,R222&gt;=CONFIG!$B$13),"ALERTA FUERTE",IF(AND(W222&gt;=CONFIG!$B$12,R222&gt;=CONFIG!$B$13),"ALERTA MEDIA","NO APTO"))))))</f>
        <v/>
      </c>
      <c r="Z222" s="2">
        <f>IF(Y222="","",IF(Y222="NO APTO","Revisar cuota/probabilidad/EV/puntuación/muestra",IF(Y222="ALERTA FUERTE","Cumple filtros de cuota + probabilidad + EV + confianza + muestra","Cumple filtros, pero confianza inferior a FUERTE")))</f>
        <v/>
      </c>
    </row>
    <row r="223">
      <c r="A223" s="2">
        <f>IF(E223="","",ROW()-1)</f>
        <v/>
      </c>
      <c r="B223" s="2" t="inlineStr">
        <is>
          <t>2026-08-19</t>
        </is>
      </c>
      <c r="C223" s="2" t="inlineStr">
        <is>
          <t>11:30</t>
        </is>
      </c>
      <c r="D223" s="2" t="inlineStr">
        <is>
          <t>Friendlies Clubs</t>
        </is>
      </c>
      <c r="E223" s="2" t="inlineStr">
        <is>
          <t>Montevarchi Calcio vs Figline</t>
        </is>
      </c>
      <c r="F223" s="2" t="inlineStr">
        <is>
          <t>PENDIENTE</t>
        </is>
      </c>
      <c r="G223" s="2" t="inlineStr">
        <is>
          <t>SELECCIONAR MERCADO</t>
        </is>
      </c>
      <c r="H223" s="6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2" t="n"/>
      <c r="S223" s="7" t="n"/>
      <c r="T223" s="7">
        <f>IFERROR(1/H223,"")</f>
        <v/>
      </c>
      <c r="U223" s="7">
        <f>IF(OR(S223="",T223=""),"",S223-T223)</f>
        <v/>
      </c>
      <c r="V223" s="7">
        <f>IF(OR(S223="",H223=""),"",S223*H223-1)</f>
        <v/>
      </c>
      <c r="W223" s="2">
        <f>IF(E223="","",ROUND(100*(0.22*I223+0.18*J223+0.18*K223+0.10*L223+0.08*M223+0.06*N223+0.06*O223+0.04*P223+0.04*Q223+0.04*MIN(R223/10,1)),0))</f>
        <v/>
      </c>
      <c r="X223" s="2">
        <f>IF(W223="","",IF(W223&gt;=CONFIG!$B$11,"FUERTE",IF(W223&gt;=CONFIG!$B$12,"MEDIA","BAJA")))</f>
        <v/>
      </c>
      <c r="Y223" s="2">
        <f>IF(OR(H223="",S223=""),"",IF(OR(H223&lt;CONFIG!$B$2,H223&gt;CONFIG!$B$3),"NO APTO",IF(S223&lt;IF(H223&lt;1.6,CONFIG!$B$4,IF(H223&lt;1.7,CONFIG!$B$5,IF(H223&lt;1.8,CONFIG!$B$6,IF(H223&lt;2,CONFIG!$B$7,IF(H223&lt;2.2,CONFIG!$B$8,CONFIG!$B$9))))),"NO APTO",IF(V223&lt;CONFIG!$B$10,"NO APTO",IF(AND(W223&gt;=CONFIG!$B$11,R223&gt;=CONFIG!$B$13),"ALERTA FUERTE",IF(AND(W223&gt;=CONFIG!$B$12,R223&gt;=CONFIG!$B$13),"ALERTA MEDIA","NO APTO"))))))</f>
        <v/>
      </c>
      <c r="Z223" s="2">
        <f>IF(Y223="","",IF(Y223="NO APTO","Revisar cuota/probabilidad/EV/puntuación/muestra",IF(Y223="ALERTA FUERTE","Cumple filtros de cuota + probabilidad + EV + confianza + muestra","Cumple filtros, pero confianza inferior a FUERTE")))</f>
        <v/>
      </c>
    </row>
    <row r="224">
      <c r="A224" s="2">
        <f>IF(E224="","",ROW()-1)</f>
        <v/>
      </c>
      <c r="B224" s="2" t="inlineStr">
        <is>
          <t>2026-08-19</t>
        </is>
      </c>
      <c r="C224" s="2" t="inlineStr">
        <is>
          <t>12:00</t>
        </is>
      </c>
      <c r="D224" s="2" t="inlineStr">
        <is>
          <t>Svenska Cupen</t>
        </is>
      </c>
      <c r="E224" s="2" t="inlineStr">
        <is>
          <t>Trollhättan vs Mjallby AIF</t>
        </is>
      </c>
      <c r="F224" s="2" t="inlineStr">
        <is>
          <t>PENDIENTE</t>
        </is>
      </c>
      <c r="G224" s="2" t="inlineStr">
        <is>
          <t>SELECCIONAR MERCADO</t>
        </is>
      </c>
      <c r="H224" s="6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2" t="n"/>
      <c r="S224" s="7" t="n"/>
      <c r="T224" s="7">
        <f>IFERROR(1/H224,"")</f>
        <v/>
      </c>
      <c r="U224" s="7">
        <f>IF(OR(S224="",T224=""),"",S224-T224)</f>
        <v/>
      </c>
      <c r="V224" s="7">
        <f>IF(OR(S224="",H224=""),"",S224*H224-1)</f>
        <v/>
      </c>
      <c r="W224" s="2">
        <f>IF(E224="","",ROUND(100*(0.22*I224+0.18*J224+0.18*K224+0.10*L224+0.08*M224+0.06*N224+0.06*O224+0.04*P224+0.04*Q224+0.04*MIN(R224/10,1)),0))</f>
        <v/>
      </c>
      <c r="X224" s="2">
        <f>IF(W224="","",IF(W224&gt;=CONFIG!$B$11,"FUERTE",IF(W224&gt;=CONFIG!$B$12,"MEDIA","BAJA")))</f>
        <v/>
      </c>
      <c r="Y224" s="2">
        <f>IF(OR(H224="",S224=""),"",IF(OR(H224&lt;CONFIG!$B$2,H224&gt;CONFIG!$B$3),"NO APTO",IF(S224&lt;IF(H224&lt;1.6,CONFIG!$B$4,IF(H224&lt;1.7,CONFIG!$B$5,IF(H224&lt;1.8,CONFIG!$B$6,IF(H224&lt;2,CONFIG!$B$7,IF(H224&lt;2.2,CONFIG!$B$8,CONFIG!$B$9))))),"NO APTO",IF(V224&lt;CONFIG!$B$10,"NO APTO",IF(AND(W224&gt;=CONFIG!$B$11,R224&gt;=CONFIG!$B$13),"ALERTA FUERTE",IF(AND(W224&gt;=CONFIG!$B$12,R224&gt;=CONFIG!$B$13),"ALERTA MEDIA","NO APTO"))))))</f>
        <v/>
      </c>
      <c r="Z224" s="2">
        <f>IF(Y224="","",IF(Y224="NO APTO","Revisar cuota/probabilidad/EV/puntuación/muestra",IF(Y224="ALERTA FUERTE","Cumple filtros de cuota + probabilidad + EV + confianza + muestra","Cumple filtros, pero confianza inferior a FUERTE")))</f>
        <v/>
      </c>
    </row>
    <row r="225">
      <c r="A225" s="2">
        <f>IF(E225="","",ROW()-1)</f>
        <v/>
      </c>
      <c r="B225" s="2" t="inlineStr">
        <is>
          <t>2026-08-19</t>
        </is>
      </c>
      <c r="C225" s="2" t="inlineStr">
        <is>
          <t>12:00</t>
        </is>
      </c>
      <c r="D225" s="2" t="inlineStr">
        <is>
          <t>Prva Liga</t>
        </is>
      </c>
      <c r="E225" s="2" t="inlineStr">
        <is>
          <t>Javor vs Jedinstvo Ub</t>
        </is>
      </c>
      <c r="F225" s="2" t="inlineStr">
        <is>
          <t>PENDIENTE</t>
        </is>
      </c>
      <c r="G225" s="2" t="inlineStr">
        <is>
          <t>SELECCIONAR MERCADO</t>
        </is>
      </c>
      <c r="H225" s="6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2" t="n"/>
      <c r="S225" s="7" t="n"/>
      <c r="T225" s="7">
        <f>IFERROR(1/H225,"")</f>
        <v/>
      </c>
      <c r="U225" s="7">
        <f>IF(OR(S225="",T225=""),"",S225-T225)</f>
        <v/>
      </c>
      <c r="V225" s="7">
        <f>IF(OR(S225="",H225=""),"",S225*H225-1)</f>
        <v/>
      </c>
      <c r="W225" s="2">
        <f>IF(E225="","",ROUND(100*(0.22*I225+0.18*J225+0.18*K225+0.10*L225+0.08*M225+0.06*N225+0.06*O225+0.04*P225+0.04*Q225+0.04*MIN(R225/10,1)),0))</f>
        <v/>
      </c>
      <c r="X225" s="2">
        <f>IF(W225="","",IF(W225&gt;=CONFIG!$B$11,"FUERTE",IF(W225&gt;=CONFIG!$B$12,"MEDIA","BAJA")))</f>
        <v/>
      </c>
      <c r="Y225" s="2">
        <f>IF(OR(H225="",S225=""),"",IF(OR(H225&lt;CONFIG!$B$2,H225&gt;CONFIG!$B$3),"NO APTO",IF(S225&lt;IF(H225&lt;1.6,CONFIG!$B$4,IF(H225&lt;1.7,CONFIG!$B$5,IF(H225&lt;1.8,CONFIG!$B$6,IF(H225&lt;2,CONFIG!$B$7,IF(H225&lt;2.2,CONFIG!$B$8,CONFIG!$B$9))))),"NO APTO",IF(V225&lt;CONFIG!$B$10,"NO APTO",IF(AND(W225&gt;=CONFIG!$B$11,R225&gt;=CONFIG!$B$13),"ALERTA FUERTE",IF(AND(W225&gt;=CONFIG!$B$12,R225&gt;=CONFIG!$B$13),"ALERTA MEDIA","NO APTO"))))))</f>
        <v/>
      </c>
      <c r="Z225" s="2">
        <f>IF(Y225="","",IF(Y225="NO APTO","Revisar cuota/probabilidad/EV/puntuación/muestra",IF(Y225="ALERTA FUERTE","Cumple filtros de cuota + probabilidad + EV + confianza + muestra","Cumple filtros, pero confianza inferior a FUERTE")))</f>
        <v/>
      </c>
    </row>
    <row r="226">
      <c r="A226" s="2">
        <f>IF(E226="","",ROW()-1)</f>
        <v/>
      </c>
      <c r="B226" s="2" t="inlineStr">
        <is>
          <t>2026-08-19</t>
        </is>
      </c>
      <c r="C226" s="2" t="inlineStr">
        <is>
          <t>12:00</t>
        </is>
      </c>
      <c r="D226" s="2" t="inlineStr">
        <is>
          <t>Prva Liga</t>
        </is>
      </c>
      <c r="E226" s="2" t="inlineStr">
        <is>
          <t>Teleoptik vs Napredak</t>
        </is>
      </c>
      <c r="F226" s="2" t="inlineStr">
        <is>
          <t>PENDIENTE</t>
        </is>
      </c>
      <c r="G226" s="2" t="inlineStr">
        <is>
          <t>SELECCIONAR MERCADO</t>
        </is>
      </c>
      <c r="H226" s="6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2" t="n"/>
      <c r="S226" s="7" t="n"/>
      <c r="T226" s="7">
        <f>IFERROR(1/H226,"")</f>
        <v/>
      </c>
      <c r="U226" s="7">
        <f>IF(OR(S226="",T226=""),"",S226-T226)</f>
        <v/>
      </c>
      <c r="V226" s="7">
        <f>IF(OR(S226="",H226=""),"",S226*H226-1)</f>
        <v/>
      </c>
      <c r="W226" s="2">
        <f>IF(E226="","",ROUND(100*(0.22*I226+0.18*J226+0.18*K226+0.10*L226+0.08*M226+0.06*N226+0.06*O226+0.04*P226+0.04*Q226+0.04*MIN(R226/10,1)),0))</f>
        <v/>
      </c>
      <c r="X226" s="2">
        <f>IF(W226="","",IF(W226&gt;=CONFIG!$B$11,"FUERTE",IF(W226&gt;=CONFIG!$B$12,"MEDIA","BAJA")))</f>
        <v/>
      </c>
      <c r="Y226" s="2">
        <f>IF(OR(H226="",S226=""),"",IF(OR(H226&lt;CONFIG!$B$2,H226&gt;CONFIG!$B$3),"NO APTO",IF(S226&lt;IF(H226&lt;1.6,CONFIG!$B$4,IF(H226&lt;1.7,CONFIG!$B$5,IF(H226&lt;1.8,CONFIG!$B$6,IF(H226&lt;2,CONFIG!$B$7,IF(H226&lt;2.2,CONFIG!$B$8,CONFIG!$B$9))))),"NO APTO",IF(V226&lt;CONFIG!$B$10,"NO APTO",IF(AND(W226&gt;=CONFIG!$B$11,R226&gt;=CONFIG!$B$13),"ALERTA FUERTE",IF(AND(W226&gt;=CONFIG!$B$12,R226&gt;=CONFIG!$B$13),"ALERTA MEDIA","NO APTO"))))))</f>
        <v/>
      </c>
      <c r="Z226" s="2">
        <f>IF(Y226="","",IF(Y226="NO APTO","Revisar cuota/probabilidad/EV/puntuación/muestra",IF(Y226="ALERTA FUERTE","Cumple filtros de cuota + probabilidad + EV + confianza + muestra","Cumple filtros, pero confianza inferior a FUERTE")))</f>
        <v/>
      </c>
    </row>
    <row r="227">
      <c r="A227" s="2">
        <f>IF(E227="","",ROW()-1)</f>
        <v/>
      </c>
      <c r="B227" s="2" t="inlineStr">
        <is>
          <t>2026-08-19</t>
        </is>
      </c>
      <c r="C227" s="2" t="inlineStr">
        <is>
          <t>12:00</t>
        </is>
      </c>
      <c r="D227" s="2" t="inlineStr">
        <is>
          <t>Prva Liga</t>
        </is>
      </c>
      <c r="E227" s="2" t="inlineStr">
        <is>
          <t>OFK Bor 1919 vs FK Vozdovac</t>
        </is>
      </c>
      <c r="F227" s="2" t="inlineStr">
        <is>
          <t>PENDIENTE</t>
        </is>
      </c>
      <c r="G227" s="2" t="inlineStr">
        <is>
          <t>SELECCIONAR MERCADO</t>
        </is>
      </c>
      <c r="H227" s="6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2" t="n"/>
      <c r="S227" s="7" t="n"/>
      <c r="T227" s="7">
        <f>IFERROR(1/H227,"")</f>
        <v/>
      </c>
      <c r="U227" s="7">
        <f>IF(OR(S227="",T227=""),"",S227-T227)</f>
        <v/>
      </c>
      <c r="V227" s="7">
        <f>IF(OR(S227="",H227=""),"",S227*H227-1)</f>
        <v/>
      </c>
      <c r="W227" s="2">
        <f>IF(E227="","",ROUND(100*(0.22*I227+0.18*J227+0.18*K227+0.10*L227+0.08*M227+0.06*N227+0.06*O227+0.04*P227+0.04*Q227+0.04*MIN(R227/10,1)),0))</f>
        <v/>
      </c>
      <c r="X227" s="2">
        <f>IF(W227="","",IF(W227&gt;=CONFIG!$B$11,"FUERTE",IF(W227&gt;=CONFIG!$B$12,"MEDIA","BAJA")))</f>
        <v/>
      </c>
      <c r="Y227" s="2">
        <f>IF(OR(H227="",S227=""),"",IF(OR(H227&lt;CONFIG!$B$2,H227&gt;CONFIG!$B$3),"NO APTO",IF(S227&lt;IF(H227&lt;1.6,CONFIG!$B$4,IF(H227&lt;1.7,CONFIG!$B$5,IF(H227&lt;1.8,CONFIG!$B$6,IF(H227&lt;2,CONFIG!$B$7,IF(H227&lt;2.2,CONFIG!$B$8,CONFIG!$B$9))))),"NO APTO",IF(V227&lt;CONFIG!$B$10,"NO APTO",IF(AND(W227&gt;=CONFIG!$B$11,R227&gt;=CONFIG!$B$13),"ALERTA FUERTE",IF(AND(W227&gt;=CONFIG!$B$12,R227&gt;=CONFIG!$B$13),"ALERTA MEDIA","NO APTO"))))))</f>
        <v/>
      </c>
      <c r="Z227" s="2">
        <f>IF(Y227="","",IF(Y227="NO APTO","Revisar cuota/probabilidad/EV/puntuación/muestra",IF(Y227="ALERTA FUERTE","Cumple filtros de cuota + probabilidad + EV + confianza + muestra","Cumple filtros, pero confianza inferior a FUERTE")))</f>
        <v/>
      </c>
    </row>
    <row r="228">
      <c r="A228" s="2">
        <f>IF(E228="","",ROW()-1)</f>
        <v/>
      </c>
      <c r="B228" s="2" t="inlineStr">
        <is>
          <t>2026-08-19</t>
        </is>
      </c>
      <c r="C228" s="2" t="inlineStr">
        <is>
          <t>12:00</t>
        </is>
      </c>
      <c r="D228" s="2" t="inlineStr">
        <is>
          <t>III Liga - Group 2</t>
        </is>
      </c>
      <c r="E228" s="2" t="inlineStr">
        <is>
          <t>Polonia Środa vs Stargard Szczeciński</t>
        </is>
      </c>
      <c r="F228" s="2" t="inlineStr">
        <is>
          <t>PENDIENTE</t>
        </is>
      </c>
      <c r="G228" s="2" t="inlineStr">
        <is>
          <t>SELECCIONAR MERCADO</t>
        </is>
      </c>
      <c r="H228" s="6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2" t="n"/>
      <c r="S228" s="7" t="n"/>
      <c r="T228" s="7">
        <f>IFERROR(1/H228,"")</f>
        <v/>
      </c>
      <c r="U228" s="7">
        <f>IF(OR(S228="",T228=""),"",S228-T228)</f>
        <v/>
      </c>
      <c r="V228" s="7">
        <f>IF(OR(S228="",H228=""),"",S228*H228-1)</f>
        <v/>
      </c>
      <c r="W228" s="2">
        <f>IF(E228="","",ROUND(100*(0.22*I228+0.18*J228+0.18*K228+0.10*L228+0.08*M228+0.06*N228+0.06*O228+0.04*P228+0.04*Q228+0.04*MIN(R228/10,1)),0))</f>
        <v/>
      </c>
      <c r="X228" s="2">
        <f>IF(W228="","",IF(W228&gt;=CONFIG!$B$11,"FUERTE",IF(W228&gt;=CONFIG!$B$12,"MEDIA","BAJA")))</f>
        <v/>
      </c>
      <c r="Y228" s="2">
        <f>IF(OR(H228="",S228=""),"",IF(OR(H228&lt;CONFIG!$B$2,H228&gt;CONFIG!$B$3),"NO APTO",IF(S228&lt;IF(H228&lt;1.6,CONFIG!$B$4,IF(H228&lt;1.7,CONFIG!$B$5,IF(H228&lt;1.8,CONFIG!$B$6,IF(H228&lt;2,CONFIG!$B$7,IF(H228&lt;2.2,CONFIG!$B$8,CONFIG!$B$9))))),"NO APTO",IF(V228&lt;CONFIG!$B$10,"NO APTO",IF(AND(W228&gt;=CONFIG!$B$11,R228&gt;=CONFIG!$B$13),"ALERTA FUERTE",IF(AND(W228&gt;=CONFIG!$B$12,R228&gt;=CONFIG!$B$13),"ALERTA MEDIA","NO APTO"))))))</f>
        <v/>
      </c>
      <c r="Z228" s="2">
        <f>IF(Y228="","",IF(Y228="NO APTO","Revisar cuota/probabilidad/EV/puntuación/muestra",IF(Y228="ALERTA FUERTE","Cumple filtros de cuota + probabilidad + EV + confianza + muestra","Cumple filtros, pero confianza inferior a FUERTE")))</f>
        <v/>
      </c>
    </row>
    <row r="229">
      <c r="A229" s="2">
        <f>IF(E229="","",ROW()-1)</f>
        <v/>
      </c>
      <c r="B229" s="2" t="inlineStr">
        <is>
          <t>2026-08-19</t>
        </is>
      </c>
      <c r="C229" s="2" t="inlineStr">
        <is>
          <t>12:00</t>
        </is>
      </c>
      <c r="D229" s="2" t="inlineStr">
        <is>
          <t>Kvindeliga</t>
        </is>
      </c>
      <c r="E229" s="2" t="inlineStr">
        <is>
          <t>Brøndby W vs Køge W</t>
        </is>
      </c>
      <c r="F229" s="2" t="inlineStr">
        <is>
          <t>PENDIENTE</t>
        </is>
      </c>
      <c r="G229" s="2" t="inlineStr">
        <is>
          <t>SELECCIONAR MERCADO</t>
        </is>
      </c>
      <c r="H229" s="6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2" t="n"/>
      <c r="S229" s="7" t="n"/>
      <c r="T229" s="7">
        <f>IFERROR(1/H229,"")</f>
        <v/>
      </c>
      <c r="U229" s="7">
        <f>IF(OR(S229="",T229=""),"",S229-T229)</f>
        <v/>
      </c>
      <c r="V229" s="7">
        <f>IF(OR(S229="",H229=""),"",S229*H229-1)</f>
        <v/>
      </c>
      <c r="W229" s="2">
        <f>IF(E229="","",ROUND(100*(0.22*I229+0.18*J229+0.18*K229+0.10*L229+0.08*M229+0.06*N229+0.06*O229+0.04*P229+0.04*Q229+0.04*MIN(R229/10,1)),0))</f>
        <v/>
      </c>
      <c r="X229" s="2">
        <f>IF(W229="","",IF(W229&gt;=CONFIG!$B$11,"FUERTE",IF(W229&gt;=CONFIG!$B$12,"MEDIA","BAJA")))</f>
        <v/>
      </c>
      <c r="Y229" s="2">
        <f>IF(OR(H229="",S229=""),"",IF(OR(H229&lt;CONFIG!$B$2,H229&gt;CONFIG!$B$3),"NO APTO",IF(S229&lt;IF(H229&lt;1.6,CONFIG!$B$4,IF(H229&lt;1.7,CONFIG!$B$5,IF(H229&lt;1.8,CONFIG!$B$6,IF(H229&lt;2,CONFIG!$B$7,IF(H229&lt;2.2,CONFIG!$B$8,CONFIG!$B$9))))),"NO APTO",IF(V229&lt;CONFIG!$B$10,"NO APTO",IF(AND(W229&gt;=CONFIG!$B$11,R229&gt;=CONFIG!$B$13),"ALERTA FUERTE",IF(AND(W229&gt;=CONFIG!$B$12,R229&gt;=CONFIG!$B$13),"ALERTA MEDIA","NO APTO"))))))</f>
        <v/>
      </c>
      <c r="Z229" s="2">
        <f>IF(Y229="","",IF(Y229="NO APTO","Revisar cuota/probabilidad/EV/puntuación/muestra",IF(Y229="ALERTA FUERTE","Cumple filtros de cuota + probabilidad + EV + confianza + muestra","Cumple filtros, pero confianza inferior a FUERTE")))</f>
        <v/>
      </c>
    </row>
    <row r="230">
      <c r="A230" s="2">
        <f>IF(E230="","",ROW()-1)</f>
        <v/>
      </c>
      <c r="B230" s="2" t="inlineStr">
        <is>
          <t>2026-08-19</t>
        </is>
      </c>
      <c r="C230" s="2" t="inlineStr">
        <is>
          <t>12:00</t>
        </is>
      </c>
      <c r="D230" s="2" t="inlineStr">
        <is>
          <t>Kvindeliga</t>
        </is>
      </c>
      <c r="E230" s="2" t="inlineStr">
        <is>
          <t>Fortuna Hjørring W vs AGF W</t>
        </is>
      </c>
      <c r="F230" s="2" t="inlineStr">
        <is>
          <t>PENDIENTE</t>
        </is>
      </c>
      <c r="G230" s="2" t="inlineStr">
        <is>
          <t>SELECCIONAR MERCADO</t>
        </is>
      </c>
      <c r="H230" s="6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2" t="n"/>
      <c r="S230" s="7" t="n"/>
      <c r="T230" s="7">
        <f>IFERROR(1/H230,"")</f>
        <v/>
      </c>
      <c r="U230" s="7">
        <f>IF(OR(S230="",T230=""),"",S230-T230)</f>
        <v/>
      </c>
      <c r="V230" s="7">
        <f>IF(OR(S230="",H230=""),"",S230*H230-1)</f>
        <v/>
      </c>
      <c r="W230" s="2">
        <f>IF(E230="","",ROUND(100*(0.22*I230+0.18*J230+0.18*K230+0.10*L230+0.08*M230+0.06*N230+0.06*O230+0.04*P230+0.04*Q230+0.04*MIN(R230/10,1)),0))</f>
        <v/>
      </c>
      <c r="X230" s="2">
        <f>IF(W230="","",IF(W230&gt;=CONFIG!$B$11,"FUERTE",IF(W230&gt;=CONFIG!$B$12,"MEDIA","BAJA")))</f>
        <v/>
      </c>
      <c r="Y230" s="2">
        <f>IF(OR(H230="",S230=""),"",IF(OR(H230&lt;CONFIG!$B$2,H230&gt;CONFIG!$B$3),"NO APTO",IF(S230&lt;IF(H230&lt;1.6,CONFIG!$B$4,IF(H230&lt;1.7,CONFIG!$B$5,IF(H230&lt;1.8,CONFIG!$B$6,IF(H230&lt;2,CONFIG!$B$7,IF(H230&lt;2.2,CONFIG!$B$8,CONFIG!$B$9))))),"NO APTO",IF(V230&lt;CONFIG!$B$10,"NO APTO",IF(AND(W230&gt;=CONFIG!$B$11,R230&gt;=CONFIG!$B$13),"ALERTA FUERTE",IF(AND(W230&gt;=CONFIG!$B$12,R230&gt;=CONFIG!$B$13),"ALERTA MEDIA","NO APTO"))))))</f>
        <v/>
      </c>
      <c r="Z230" s="2">
        <f>IF(Y230="","",IF(Y230="NO APTO","Revisar cuota/probabilidad/EV/puntuación/muestra",IF(Y230="ALERTA FUERTE","Cumple filtros de cuota + probabilidad + EV + confianza + muestra","Cumple filtros, pero confianza inferior a FUERTE")))</f>
        <v/>
      </c>
    </row>
    <row r="231">
      <c r="A231" s="2">
        <f>IF(E231="","",ROW()-1)</f>
        <v/>
      </c>
      <c r="B231" s="2" t="inlineStr">
        <is>
          <t>2026-08-19</t>
        </is>
      </c>
      <c r="C231" s="2" t="inlineStr">
        <is>
          <t>12:00</t>
        </is>
      </c>
      <c r="D231" s="2" t="inlineStr">
        <is>
          <t>Kvindeliga</t>
        </is>
      </c>
      <c r="E231" s="2" t="inlineStr">
        <is>
          <t>KoldingQ W vs Odense Q W</t>
        </is>
      </c>
      <c r="F231" s="2" t="inlineStr">
        <is>
          <t>PENDIENTE</t>
        </is>
      </c>
      <c r="G231" s="2" t="inlineStr">
        <is>
          <t>SELECCIONAR MERCADO</t>
        </is>
      </c>
      <c r="H231" s="6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2" t="n"/>
      <c r="S231" s="7" t="n"/>
      <c r="T231" s="7">
        <f>IFERROR(1/H231,"")</f>
        <v/>
      </c>
      <c r="U231" s="7">
        <f>IF(OR(S231="",T231=""),"",S231-T231)</f>
        <v/>
      </c>
      <c r="V231" s="7">
        <f>IF(OR(S231="",H231=""),"",S231*H231-1)</f>
        <v/>
      </c>
      <c r="W231" s="2">
        <f>IF(E231="","",ROUND(100*(0.22*I231+0.18*J231+0.18*K231+0.10*L231+0.08*M231+0.06*N231+0.06*O231+0.04*P231+0.04*Q231+0.04*MIN(R231/10,1)),0))</f>
        <v/>
      </c>
      <c r="X231" s="2">
        <f>IF(W231="","",IF(W231&gt;=CONFIG!$B$11,"FUERTE",IF(W231&gt;=CONFIG!$B$12,"MEDIA","BAJA")))</f>
        <v/>
      </c>
      <c r="Y231" s="2">
        <f>IF(OR(H231="",S231=""),"",IF(OR(H231&lt;CONFIG!$B$2,H231&gt;CONFIG!$B$3),"NO APTO",IF(S231&lt;IF(H231&lt;1.6,CONFIG!$B$4,IF(H231&lt;1.7,CONFIG!$B$5,IF(H231&lt;1.8,CONFIG!$B$6,IF(H231&lt;2,CONFIG!$B$7,IF(H231&lt;2.2,CONFIG!$B$8,CONFIG!$B$9))))),"NO APTO",IF(V231&lt;CONFIG!$B$10,"NO APTO",IF(AND(W231&gt;=CONFIG!$B$11,R231&gt;=CONFIG!$B$13),"ALERTA FUERTE",IF(AND(W231&gt;=CONFIG!$B$12,R231&gt;=CONFIG!$B$13),"ALERTA MEDIA","NO APTO"))))))</f>
        <v/>
      </c>
      <c r="Z231" s="2">
        <f>IF(Y231="","",IF(Y231="NO APTO","Revisar cuota/probabilidad/EV/puntuación/muestra",IF(Y231="ALERTA FUERTE","Cumple filtros de cuota + probabilidad + EV + confianza + muestra","Cumple filtros, pero confianza inferior a FUERTE")))</f>
        <v/>
      </c>
    </row>
    <row r="232">
      <c r="A232" s="2">
        <f>IF(E232="","",ROW()-1)</f>
        <v/>
      </c>
      <c r="B232" s="2" t="inlineStr">
        <is>
          <t>2026-08-19</t>
        </is>
      </c>
      <c r="C232" s="2" t="inlineStr">
        <is>
          <t>12:00</t>
        </is>
      </c>
      <c r="D232" s="2" t="inlineStr">
        <is>
          <t>U19 Bundesliga</t>
        </is>
      </c>
      <c r="E232" s="2" t="inlineStr">
        <is>
          <t>Sandhausen U19 vs Hoffenheim U19</t>
        </is>
      </c>
      <c r="F232" s="2" t="inlineStr">
        <is>
          <t>PENDIENTE</t>
        </is>
      </c>
      <c r="G232" s="2" t="inlineStr">
        <is>
          <t>SELECCIONAR MERCADO</t>
        </is>
      </c>
      <c r="H232" s="6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2" t="n"/>
      <c r="S232" s="7" t="n"/>
      <c r="T232" s="7">
        <f>IFERROR(1/H232,"")</f>
        <v/>
      </c>
      <c r="U232" s="7">
        <f>IF(OR(S232="",T232=""),"",S232-T232)</f>
        <v/>
      </c>
      <c r="V232" s="7">
        <f>IF(OR(S232="",H232=""),"",S232*H232-1)</f>
        <v/>
      </c>
      <c r="W232" s="2">
        <f>IF(E232="","",ROUND(100*(0.22*I232+0.18*J232+0.18*K232+0.10*L232+0.08*M232+0.06*N232+0.06*O232+0.04*P232+0.04*Q232+0.04*MIN(R232/10,1)),0))</f>
        <v/>
      </c>
      <c r="X232" s="2">
        <f>IF(W232="","",IF(W232&gt;=CONFIG!$B$11,"FUERTE",IF(W232&gt;=CONFIG!$B$12,"MEDIA","BAJA")))</f>
        <v/>
      </c>
      <c r="Y232" s="2">
        <f>IF(OR(H232="",S232=""),"",IF(OR(H232&lt;CONFIG!$B$2,H232&gt;CONFIG!$B$3),"NO APTO",IF(S232&lt;IF(H232&lt;1.6,CONFIG!$B$4,IF(H232&lt;1.7,CONFIG!$B$5,IF(H232&lt;1.8,CONFIG!$B$6,IF(H232&lt;2,CONFIG!$B$7,IF(H232&lt;2.2,CONFIG!$B$8,CONFIG!$B$9))))),"NO APTO",IF(V232&lt;CONFIG!$B$10,"NO APTO",IF(AND(W232&gt;=CONFIG!$B$11,R232&gt;=CONFIG!$B$13),"ALERTA FUERTE",IF(AND(W232&gt;=CONFIG!$B$12,R232&gt;=CONFIG!$B$13),"ALERTA MEDIA","NO APTO"))))))</f>
        <v/>
      </c>
      <c r="Z232" s="2">
        <f>IF(Y232="","",IF(Y232="NO APTO","Revisar cuota/probabilidad/EV/puntuación/muestra",IF(Y232="ALERTA FUERTE","Cumple filtros de cuota + probabilidad + EV + confianza + muestra","Cumple filtros, pero confianza inferior a FUERTE")))</f>
        <v/>
      </c>
    </row>
    <row r="233">
      <c r="A233" s="2">
        <f>IF(E233="","",ROW()-1)</f>
        <v/>
      </c>
      <c r="B233" s="2" t="inlineStr">
        <is>
          <t>2026-08-19</t>
        </is>
      </c>
      <c r="C233" s="2" t="inlineStr">
        <is>
          <t>12:00</t>
        </is>
      </c>
      <c r="D233" s="2" t="inlineStr">
        <is>
          <t>Reserve League</t>
        </is>
      </c>
      <c r="E233" s="2" t="inlineStr">
        <is>
          <t>Gimnasia La Plata Res. vs Sarmiento Res.</t>
        </is>
      </c>
      <c r="F233" s="2" t="inlineStr">
        <is>
          <t>PENDIENTE</t>
        </is>
      </c>
      <c r="G233" s="2" t="inlineStr">
        <is>
          <t>SELECCIONAR MERCADO</t>
        </is>
      </c>
      <c r="H233" s="6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2" t="n"/>
      <c r="S233" s="7" t="n"/>
      <c r="T233" s="7">
        <f>IFERROR(1/H233,"")</f>
        <v/>
      </c>
      <c r="U233" s="7">
        <f>IF(OR(S233="",T233=""),"",S233-T233)</f>
        <v/>
      </c>
      <c r="V233" s="7">
        <f>IF(OR(S233="",H233=""),"",S233*H233-1)</f>
        <v/>
      </c>
      <c r="W233" s="2">
        <f>IF(E233="","",ROUND(100*(0.22*I233+0.18*J233+0.18*K233+0.10*L233+0.08*M233+0.06*N233+0.06*O233+0.04*P233+0.04*Q233+0.04*MIN(R233/10,1)),0))</f>
        <v/>
      </c>
      <c r="X233" s="2">
        <f>IF(W233="","",IF(W233&gt;=CONFIG!$B$11,"FUERTE",IF(W233&gt;=CONFIG!$B$12,"MEDIA","BAJA")))</f>
        <v/>
      </c>
      <c r="Y233" s="2">
        <f>IF(OR(H233="",S233=""),"",IF(OR(H233&lt;CONFIG!$B$2,H233&gt;CONFIG!$B$3),"NO APTO",IF(S233&lt;IF(H233&lt;1.6,CONFIG!$B$4,IF(H233&lt;1.7,CONFIG!$B$5,IF(H233&lt;1.8,CONFIG!$B$6,IF(H233&lt;2,CONFIG!$B$7,IF(H233&lt;2.2,CONFIG!$B$8,CONFIG!$B$9))))),"NO APTO",IF(V233&lt;CONFIG!$B$10,"NO APTO",IF(AND(W233&gt;=CONFIG!$B$11,R233&gt;=CONFIG!$B$13),"ALERTA FUERTE",IF(AND(W233&gt;=CONFIG!$B$12,R233&gt;=CONFIG!$B$13),"ALERTA MEDIA","NO APTO"))))))</f>
        <v/>
      </c>
      <c r="Z233" s="2">
        <f>IF(Y233="","",IF(Y233="NO APTO","Revisar cuota/probabilidad/EV/puntuación/muestra",IF(Y233="ALERTA FUERTE","Cumple filtros de cuota + probabilidad + EV + confianza + muestra","Cumple filtros, pero confianza inferior a FUERTE")))</f>
        <v/>
      </c>
    </row>
    <row r="234">
      <c r="A234" s="2">
        <f>IF(E234="","",ROW()-1)</f>
        <v/>
      </c>
      <c r="B234" s="2" t="inlineStr">
        <is>
          <t>2026-08-19</t>
        </is>
      </c>
      <c r="C234" s="2" t="inlineStr">
        <is>
          <t>12:00</t>
        </is>
      </c>
      <c r="D234" s="2" t="inlineStr">
        <is>
          <t>Copa Paraguay</t>
        </is>
      </c>
      <c r="E234" s="2" t="inlineStr">
        <is>
          <t>Deportivo Obrero vs Fernando De La Mora</t>
        </is>
      </c>
      <c r="F234" s="2" t="inlineStr">
        <is>
          <t>PENDIENTE</t>
        </is>
      </c>
      <c r="G234" s="2" t="inlineStr">
        <is>
          <t>SELECCIONAR MERCADO</t>
        </is>
      </c>
      <c r="H234" s="6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2" t="n"/>
      <c r="S234" s="7" t="n"/>
      <c r="T234" s="7">
        <f>IFERROR(1/H234,"")</f>
        <v/>
      </c>
      <c r="U234" s="7">
        <f>IF(OR(S234="",T234=""),"",S234-T234)</f>
        <v/>
      </c>
      <c r="V234" s="7">
        <f>IF(OR(S234="",H234=""),"",S234*H234-1)</f>
        <v/>
      </c>
      <c r="W234" s="2">
        <f>IF(E234="","",ROUND(100*(0.22*I234+0.18*J234+0.18*K234+0.10*L234+0.08*M234+0.06*N234+0.06*O234+0.04*P234+0.04*Q234+0.04*MIN(R234/10,1)),0))</f>
        <v/>
      </c>
      <c r="X234" s="2">
        <f>IF(W234="","",IF(W234&gt;=CONFIG!$B$11,"FUERTE",IF(W234&gt;=CONFIG!$B$12,"MEDIA","BAJA")))</f>
        <v/>
      </c>
      <c r="Y234" s="2">
        <f>IF(OR(H234="",S234=""),"",IF(OR(H234&lt;CONFIG!$B$2,H234&gt;CONFIG!$B$3),"NO APTO",IF(S234&lt;IF(H234&lt;1.6,CONFIG!$B$4,IF(H234&lt;1.7,CONFIG!$B$5,IF(H234&lt;1.8,CONFIG!$B$6,IF(H234&lt;2,CONFIG!$B$7,IF(H234&lt;2.2,CONFIG!$B$8,CONFIG!$B$9))))),"NO APTO",IF(V234&lt;CONFIG!$B$10,"NO APTO",IF(AND(W234&gt;=CONFIG!$B$11,R234&gt;=CONFIG!$B$13),"ALERTA FUERTE",IF(AND(W234&gt;=CONFIG!$B$12,R234&gt;=CONFIG!$B$13),"ALERTA MEDIA","NO APTO"))))))</f>
        <v/>
      </c>
      <c r="Z234" s="2">
        <f>IF(Y234="","",IF(Y234="NO APTO","Revisar cuota/probabilidad/EV/puntuación/muestra",IF(Y234="ALERTA FUERTE","Cumple filtros de cuota + probabilidad + EV + confianza + muestra","Cumple filtros, pero confianza inferior a FUERTE")))</f>
        <v/>
      </c>
    </row>
    <row r="235">
      <c r="A235" s="2">
        <f>IF(E235="","",ROW()-1)</f>
        <v/>
      </c>
      <c r="B235" s="2" t="inlineStr">
        <is>
          <t>2026-08-19</t>
        </is>
      </c>
      <c r="C235" s="2" t="inlineStr">
        <is>
          <t>12:00</t>
        </is>
      </c>
      <c r="D235" s="2" t="inlineStr">
        <is>
          <t>Persian Gulf Pro League</t>
        </is>
      </c>
      <c r="E235" s="2" t="inlineStr">
        <is>
          <t>Foolad FC vs Shams Azar Qazvin</t>
        </is>
      </c>
      <c r="F235" s="2" t="inlineStr">
        <is>
          <t>PENDIENTE</t>
        </is>
      </c>
      <c r="G235" s="2" t="inlineStr">
        <is>
          <t>SELECCIONAR MERCADO</t>
        </is>
      </c>
      <c r="H235" s="6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2" t="n"/>
      <c r="S235" s="7" t="n"/>
      <c r="T235" s="7">
        <f>IFERROR(1/H235,"")</f>
        <v/>
      </c>
      <c r="U235" s="7">
        <f>IF(OR(S235="",T235=""),"",S235-T235)</f>
        <v/>
      </c>
      <c r="V235" s="7">
        <f>IF(OR(S235="",H235=""),"",S235*H235-1)</f>
        <v/>
      </c>
      <c r="W235" s="2">
        <f>IF(E235="","",ROUND(100*(0.22*I235+0.18*J235+0.18*K235+0.10*L235+0.08*M235+0.06*N235+0.06*O235+0.04*P235+0.04*Q235+0.04*MIN(R235/10,1)),0))</f>
        <v/>
      </c>
      <c r="X235" s="2">
        <f>IF(W235="","",IF(W235&gt;=CONFIG!$B$11,"FUERTE",IF(W235&gt;=CONFIG!$B$12,"MEDIA","BAJA")))</f>
        <v/>
      </c>
      <c r="Y235" s="2">
        <f>IF(OR(H235="",S235=""),"",IF(OR(H235&lt;CONFIG!$B$2,H235&gt;CONFIG!$B$3),"NO APTO",IF(S235&lt;IF(H235&lt;1.6,CONFIG!$B$4,IF(H235&lt;1.7,CONFIG!$B$5,IF(H235&lt;1.8,CONFIG!$B$6,IF(H235&lt;2,CONFIG!$B$7,IF(H235&lt;2.2,CONFIG!$B$8,CONFIG!$B$9))))),"NO APTO",IF(V235&lt;CONFIG!$B$10,"NO APTO",IF(AND(W235&gt;=CONFIG!$B$11,R235&gt;=CONFIG!$B$13),"ALERTA FUERTE",IF(AND(W235&gt;=CONFIG!$B$12,R235&gt;=CONFIG!$B$13),"ALERTA MEDIA","NO APTO"))))))</f>
        <v/>
      </c>
      <c r="Z235" s="2">
        <f>IF(Y235="","",IF(Y235="NO APTO","Revisar cuota/probabilidad/EV/puntuación/muestra",IF(Y235="ALERTA FUERTE","Cumple filtros de cuota + probabilidad + EV + confianza + muestra","Cumple filtros, pero confianza inferior a FUERTE")))</f>
        <v/>
      </c>
    </row>
    <row r="236">
      <c r="A236" s="2">
        <f>IF(E236="","",ROW()-1)</f>
        <v/>
      </c>
      <c r="B236" s="2" t="inlineStr">
        <is>
          <t>2026-08-19</t>
        </is>
      </c>
      <c r="C236" s="2" t="inlineStr">
        <is>
          <t>12:00</t>
        </is>
      </c>
      <c r="D236" s="2" t="inlineStr">
        <is>
          <t>Friendlies Clubs</t>
        </is>
      </c>
      <c r="E236" s="2" t="inlineStr">
        <is>
          <t>Sant Andreu vs Manresa</t>
        </is>
      </c>
      <c r="F236" s="2" t="inlineStr">
        <is>
          <t>PENDIENTE</t>
        </is>
      </c>
      <c r="G236" s="2" t="inlineStr">
        <is>
          <t>SELECCIONAR MERCADO</t>
        </is>
      </c>
      <c r="H236" s="6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2" t="n"/>
      <c r="S236" s="7" t="n"/>
      <c r="T236" s="7">
        <f>IFERROR(1/H236,"")</f>
        <v/>
      </c>
      <c r="U236" s="7">
        <f>IF(OR(S236="",T236=""),"",S236-T236)</f>
        <v/>
      </c>
      <c r="V236" s="7">
        <f>IF(OR(S236="",H236=""),"",S236*H236-1)</f>
        <v/>
      </c>
      <c r="W236" s="2">
        <f>IF(E236="","",ROUND(100*(0.22*I236+0.18*J236+0.18*K236+0.10*L236+0.08*M236+0.06*N236+0.06*O236+0.04*P236+0.04*Q236+0.04*MIN(R236/10,1)),0))</f>
        <v/>
      </c>
      <c r="X236" s="2">
        <f>IF(W236="","",IF(W236&gt;=CONFIG!$B$11,"FUERTE",IF(W236&gt;=CONFIG!$B$12,"MEDIA","BAJA")))</f>
        <v/>
      </c>
      <c r="Y236" s="2">
        <f>IF(OR(H236="",S236=""),"",IF(OR(H236&lt;CONFIG!$B$2,H236&gt;CONFIG!$B$3),"NO APTO",IF(S236&lt;IF(H236&lt;1.6,CONFIG!$B$4,IF(H236&lt;1.7,CONFIG!$B$5,IF(H236&lt;1.8,CONFIG!$B$6,IF(H236&lt;2,CONFIG!$B$7,IF(H236&lt;2.2,CONFIG!$B$8,CONFIG!$B$9))))),"NO APTO",IF(V236&lt;CONFIG!$B$10,"NO APTO",IF(AND(W236&gt;=CONFIG!$B$11,R236&gt;=CONFIG!$B$13),"ALERTA FUERTE",IF(AND(W236&gt;=CONFIG!$B$12,R236&gt;=CONFIG!$B$13),"ALERTA MEDIA","NO APTO"))))))</f>
        <v/>
      </c>
      <c r="Z236" s="2">
        <f>IF(Y236="","",IF(Y236="NO APTO","Revisar cuota/probabilidad/EV/puntuación/muestra",IF(Y236="ALERTA FUERTE","Cumple filtros de cuota + probabilidad + EV + confianza + muestra","Cumple filtros, pero confianza inferior a FUERTE")))</f>
        <v/>
      </c>
    </row>
    <row r="237">
      <c r="A237" s="2">
        <f>IF(E237="","",ROW()-1)</f>
        <v/>
      </c>
      <c r="B237" s="2" t="inlineStr">
        <is>
          <t>2026-08-19</t>
        </is>
      </c>
      <c r="C237" s="2" t="inlineStr">
        <is>
          <t>12:00</t>
        </is>
      </c>
      <c r="D237" s="2" t="inlineStr">
        <is>
          <t>Friendlies Clubs</t>
        </is>
      </c>
      <c r="E237" s="2" t="inlineStr">
        <is>
          <t>La Calzada vs Mirandes</t>
        </is>
      </c>
      <c r="F237" s="2" t="inlineStr">
        <is>
          <t>PENDIENTE</t>
        </is>
      </c>
      <c r="G237" s="2" t="inlineStr">
        <is>
          <t>SELECCIONAR MERCADO</t>
        </is>
      </c>
      <c r="H237" s="6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2" t="n"/>
      <c r="S237" s="7" t="n"/>
      <c r="T237" s="7">
        <f>IFERROR(1/H237,"")</f>
        <v/>
      </c>
      <c r="U237" s="7">
        <f>IF(OR(S237="",T237=""),"",S237-T237)</f>
        <v/>
      </c>
      <c r="V237" s="7">
        <f>IF(OR(S237="",H237=""),"",S237*H237-1)</f>
        <v/>
      </c>
      <c r="W237" s="2">
        <f>IF(E237="","",ROUND(100*(0.22*I237+0.18*J237+0.18*K237+0.10*L237+0.08*M237+0.06*N237+0.06*O237+0.04*P237+0.04*Q237+0.04*MIN(R237/10,1)),0))</f>
        <v/>
      </c>
      <c r="X237" s="2">
        <f>IF(W237="","",IF(W237&gt;=CONFIG!$B$11,"FUERTE",IF(W237&gt;=CONFIG!$B$12,"MEDIA","BAJA")))</f>
        <v/>
      </c>
      <c r="Y237" s="2">
        <f>IF(OR(H237="",S237=""),"",IF(OR(H237&lt;CONFIG!$B$2,H237&gt;CONFIG!$B$3),"NO APTO",IF(S237&lt;IF(H237&lt;1.6,CONFIG!$B$4,IF(H237&lt;1.7,CONFIG!$B$5,IF(H237&lt;1.8,CONFIG!$B$6,IF(H237&lt;2,CONFIG!$B$7,IF(H237&lt;2.2,CONFIG!$B$8,CONFIG!$B$9))))),"NO APTO",IF(V237&lt;CONFIG!$B$10,"NO APTO",IF(AND(W237&gt;=CONFIG!$B$11,R237&gt;=CONFIG!$B$13),"ALERTA FUERTE",IF(AND(W237&gt;=CONFIG!$B$12,R237&gt;=CONFIG!$B$13),"ALERTA MEDIA","NO APTO"))))))</f>
        <v/>
      </c>
      <c r="Z237" s="2">
        <f>IF(Y237="","",IF(Y237="NO APTO","Revisar cuota/probabilidad/EV/puntuación/muestra",IF(Y237="ALERTA FUERTE","Cumple filtros de cuota + probabilidad + EV + confianza + muestra","Cumple filtros, pero confianza inferior a FUERTE")))</f>
        <v/>
      </c>
    </row>
    <row r="238">
      <c r="A238" s="2">
        <f>IF(E238="","",ROW()-1)</f>
        <v/>
      </c>
      <c r="B238" s="2" t="inlineStr">
        <is>
          <t>2026-08-19</t>
        </is>
      </c>
      <c r="C238" s="2" t="inlineStr">
        <is>
          <t>12:30</t>
        </is>
      </c>
      <c r="D238" s="2" t="inlineStr">
        <is>
          <t>1. Liga Promotion</t>
        </is>
      </c>
      <c r="E238" s="2" t="inlineStr">
        <is>
          <t>Brühl vs Biel-Bienne</t>
        </is>
      </c>
      <c r="F238" s="2" t="inlineStr">
        <is>
          <t>PENDIENTE</t>
        </is>
      </c>
      <c r="G238" s="2" t="inlineStr">
        <is>
          <t>SELECCIONAR MERCADO</t>
        </is>
      </c>
      <c r="H238" s="6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2" t="n"/>
      <c r="S238" s="7" t="n"/>
      <c r="T238" s="7">
        <f>IFERROR(1/H238,"")</f>
        <v/>
      </c>
      <c r="U238" s="7">
        <f>IF(OR(S238="",T238=""),"",S238-T238)</f>
        <v/>
      </c>
      <c r="V238" s="7">
        <f>IF(OR(S238="",H238=""),"",S238*H238-1)</f>
        <v/>
      </c>
      <c r="W238" s="2">
        <f>IF(E238="","",ROUND(100*(0.22*I238+0.18*J238+0.18*K238+0.10*L238+0.08*M238+0.06*N238+0.06*O238+0.04*P238+0.04*Q238+0.04*MIN(R238/10,1)),0))</f>
        <v/>
      </c>
      <c r="X238" s="2">
        <f>IF(W238="","",IF(W238&gt;=CONFIG!$B$11,"FUERTE",IF(W238&gt;=CONFIG!$B$12,"MEDIA","BAJA")))</f>
        <v/>
      </c>
      <c r="Y238" s="2">
        <f>IF(OR(H238="",S238=""),"",IF(OR(H238&lt;CONFIG!$B$2,H238&gt;CONFIG!$B$3),"NO APTO",IF(S238&lt;IF(H238&lt;1.6,CONFIG!$B$4,IF(H238&lt;1.7,CONFIG!$B$5,IF(H238&lt;1.8,CONFIG!$B$6,IF(H238&lt;2,CONFIG!$B$7,IF(H238&lt;2.2,CONFIG!$B$8,CONFIG!$B$9))))),"NO APTO",IF(V238&lt;CONFIG!$B$10,"NO APTO",IF(AND(W238&gt;=CONFIG!$B$11,R238&gt;=CONFIG!$B$13),"ALERTA FUERTE",IF(AND(W238&gt;=CONFIG!$B$12,R238&gt;=CONFIG!$B$13),"ALERTA MEDIA","NO APTO"))))))</f>
        <v/>
      </c>
      <c r="Z238" s="2">
        <f>IF(Y238="","",IF(Y238="NO APTO","Revisar cuota/probabilidad/EV/puntuación/muestra",IF(Y238="ALERTA FUERTE","Cumple filtros de cuota + probabilidad + EV + confianza + muestra","Cumple filtros, pero confianza inferior a FUERTE")))</f>
        <v/>
      </c>
    </row>
    <row r="239">
      <c r="A239" s="2">
        <f>IF(E239="","",ROW()-1)</f>
        <v/>
      </c>
      <c r="B239" s="2" t="inlineStr">
        <is>
          <t>2026-08-19</t>
        </is>
      </c>
      <c r="C239" s="2" t="inlineStr">
        <is>
          <t>12:30</t>
        </is>
      </c>
      <c r="D239" s="2" t="inlineStr">
        <is>
          <t>1. Liga Promotion</t>
        </is>
      </c>
      <c r="E239" s="2" t="inlineStr">
        <is>
          <t>Kreuzlingen vs Cham</t>
        </is>
      </c>
      <c r="F239" s="2" t="inlineStr">
        <is>
          <t>PENDIENTE</t>
        </is>
      </c>
      <c r="G239" s="2" t="inlineStr">
        <is>
          <t>SELECCIONAR MERCADO</t>
        </is>
      </c>
      <c r="H239" s="6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2" t="n"/>
      <c r="S239" s="7" t="n"/>
      <c r="T239" s="7">
        <f>IFERROR(1/H239,"")</f>
        <v/>
      </c>
      <c r="U239" s="7">
        <f>IF(OR(S239="",T239=""),"",S239-T239)</f>
        <v/>
      </c>
      <c r="V239" s="7">
        <f>IF(OR(S239="",H239=""),"",S239*H239-1)</f>
        <v/>
      </c>
      <c r="W239" s="2">
        <f>IF(E239="","",ROUND(100*(0.22*I239+0.18*J239+0.18*K239+0.10*L239+0.08*M239+0.06*N239+0.06*O239+0.04*P239+0.04*Q239+0.04*MIN(R239/10,1)),0))</f>
        <v/>
      </c>
      <c r="X239" s="2">
        <f>IF(W239="","",IF(W239&gt;=CONFIG!$B$11,"FUERTE",IF(W239&gt;=CONFIG!$B$12,"MEDIA","BAJA")))</f>
        <v/>
      </c>
      <c r="Y239" s="2">
        <f>IF(OR(H239="",S239=""),"",IF(OR(H239&lt;CONFIG!$B$2,H239&gt;CONFIG!$B$3),"NO APTO",IF(S239&lt;IF(H239&lt;1.6,CONFIG!$B$4,IF(H239&lt;1.7,CONFIG!$B$5,IF(H239&lt;1.8,CONFIG!$B$6,IF(H239&lt;2,CONFIG!$B$7,IF(H239&lt;2.2,CONFIG!$B$8,CONFIG!$B$9))))),"NO APTO",IF(V239&lt;CONFIG!$B$10,"NO APTO",IF(AND(W239&gt;=CONFIG!$B$11,R239&gt;=CONFIG!$B$13),"ALERTA FUERTE",IF(AND(W239&gt;=CONFIG!$B$12,R239&gt;=CONFIG!$B$13),"ALERTA MEDIA","NO APTO"))))))</f>
        <v/>
      </c>
      <c r="Z239" s="2">
        <f>IF(Y239="","",IF(Y239="NO APTO","Revisar cuota/probabilidad/EV/puntuación/muestra",IF(Y239="ALERTA FUERTE","Cumple filtros de cuota + probabilidad + EV + confianza + muestra","Cumple filtros, pero confianza inferior a FUERTE")))</f>
        <v/>
      </c>
    </row>
    <row r="240">
      <c r="A240" s="2">
        <f>IF(E240="","",ROW()-1)</f>
        <v/>
      </c>
      <c r="B240" s="2" t="inlineStr">
        <is>
          <t>2026-08-19</t>
        </is>
      </c>
      <c r="C240" s="2" t="inlineStr">
        <is>
          <t>12:30</t>
        </is>
      </c>
      <c r="D240" s="2" t="inlineStr">
        <is>
          <t>1. Liga Promotion</t>
        </is>
      </c>
      <c r="E240" s="2" t="inlineStr">
        <is>
          <t>Grand-Saconnex vs FC Schaffhausen</t>
        </is>
      </c>
      <c r="F240" s="2" t="inlineStr">
        <is>
          <t>PENDIENTE</t>
        </is>
      </c>
      <c r="G240" s="2" t="inlineStr">
        <is>
          <t>SELECCIONAR MERCADO</t>
        </is>
      </c>
      <c r="H240" s="6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2" t="n"/>
      <c r="S240" s="7" t="n"/>
      <c r="T240" s="7">
        <f>IFERROR(1/H240,"")</f>
        <v/>
      </c>
      <c r="U240" s="7">
        <f>IF(OR(S240="",T240=""),"",S240-T240)</f>
        <v/>
      </c>
      <c r="V240" s="7">
        <f>IF(OR(S240="",H240=""),"",S240*H240-1)</f>
        <v/>
      </c>
      <c r="W240" s="2">
        <f>IF(E240="","",ROUND(100*(0.22*I240+0.18*J240+0.18*K240+0.10*L240+0.08*M240+0.06*N240+0.06*O240+0.04*P240+0.04*Q240+0.04*MIN(R240/10,1)),0))</f>
        <v/>
      </c>
      <c r="X240" s="2">
        <f>IF(W240="","",IF(W240&gt;=CONFIG!$B$11,"FUERTE",IF(W240&gt;=CONFIG!$B$12,"MEDIA","BAJA")))</f>
        <v/>
      </c>
      <c r="Y240" s="2">
        <f>IF(OR(H240="",S240=""),"",IF(OR(H240&lt;CONFIG!$B$2,H240&gt;CONFIG!$B$3),"NO APTO",IF(S240&lt;IF(H240&lt;1.6,CONFIG!$B$4,IF(H240&lt;1.7,CONFIG!$B$5,IF(H240&lt;1.8,CONFIG!$B$6,IF(H240&lt;2,CONFIG!$B$7,IF(H240&lt;2.2,CONFIG!$B$8,CONFIG!$B$9))))),"NO APTO",IF(V240&lt;CONFIG!$B$10,"NO APTO",IF(AND(W240&gt;=CONFIG!$B$11,R240&gt;=CONFIG!$B$13),"ALERTA FUERTE",IF(AND(W240&gt;=CONFIG!$B$12,R240&gt;=CONFIG!$B$13),"ALERTA MEDIA","NO APTO"))))))</f>
        <v/>
      </c>
      <c r="Z240" s="2">
        <f>IF(Y240="","",IF(Y240="NO APTO","Revisar cuota/probabilidad/EV/puntuación/muestra",IF(Y240="ALERTA FUERTE","Cumple filtros de cuota + probabilidad + EV + confianza + muestra","Cumple filtros, pero confianza inferior a FUERTE")))</f>
        <v/>
      </c>
    </row>
    <row r="241">
      <c r="A241" s="2">
        <f>IF(E241="","",ROW()-1)</f>
        <v/>
      </c>
      <c r="B241" s="2" t="inlineStr">
        <is>
          <t>2026-08-19</t>
        </is>
      </c>
      <c r="C241" s="2" t="inlineStr">
        <is>
          <t>12:30</t>
        </is>
      </c>
      <c r="D241" s="2" t="inlineStr">
        <is>
          <t>1. Liga Promotion</t>
        </is>
      </c>
      <c r="E241" s="2" t="inlineStr">
        <is>
          <t>Breitenrain vs Young Boys II</t>
        </is>
      </c>
      <c r="F241" s="2" t="inlineStr">
        <is>
          <t>PENDIENTE</t>
        </is>
      </c>
      <c r="G241" s="2" t="inlineStr">
        <is>
          <t>SELECCIONAR MERCADO</t>
        </is>
      </c>
      <c r="H241" s="6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2" t="n"/>
      <c r="S241" s="7" t="n"/>
      <c r="T241" s="7">
        <f>IFERROR(1/H241,"")</f>
        <v/>
      </c>
      <c r="U241" s="7">
        <f>IF(OR(S241="",T241=""),"",S241-T241)</f>
        <v/>
      </c>
      <c r="V241" s="7">
        <f>IF(OR(S241="",H241=""),"",S241*H241-1)</f>
        <v/>
      </c>
      <c r="W241" s="2">
        <f>IF(E241="","",ROUND(100*(0.22*I241+0.18*J241+0.18*K241+0.10*L241+0.08*M241+0.06*N241+0.06*O241+0.04*P241+0.04*Q241+0.04*MIN(R241/10,1)),0))</f>
        <v/>
      </c>
      <c r="X241" s="2">
        <f>IF(W241="","",IF(W241&gt;=CONFIG!$B$11,"FUERTE",IF(W241&gt;=CONFIG!$B$12,"MEDIA","BAJA")))</f>
        <v/>
      </c>
      <c r="Y241" s="2">
        <f>IF(OR(H241="",S241=""),"",IF(OR(H241&lt;CONFIG!$B$2,H241&gt;CONFIG!$B$3),"NO APTO",IF(S241&lt;IF(H241&lt;1.6,CONFIG!$B$4,IF(H241&lt;1.7,CONFIG!$B$5,IF(H241&lt;1.8,CONFIG!$B$6,IF(H241&lt;2,CONFIG!$B$7,IF(H241&lt;2.2,CONFIG!$B$8,CONFIG!$B$9))))),"NO APTO",IF(V241&lt;CONFIG!$B$10,"NO APTO",IF(AND(W241&gt;=CONFIG!$B$11,R241&gt;=CONFIG!$B$13),"ALERTA FUERTE",IF(AND(W241&gt;=CONFIG!$B$12,R241&gt;=CONFIG!$B$13),"ALERTA MEDIA","NO APTO"))))))</f>
        <v/>
      </c>
      <c r="Z241" s="2">
        <f>IF(Y241="","",IF(Y241="NO APTO","Revisar cuota/probabilidad/EV/puntuación/muestra",IF(Y241="ALERTA FUERTE","Cumple filtros de cuota + probabilidad + EV + confianza + muestra","Cumple filtros, pero confianza inferior a FUERTE")))</f>
        <v/>
      </c>
    </row>
    <row r="242">
      <c r="A242" s="2">
        <f>IF(E242="","",ROW()-1)</f>
        <v/>
      </c>
      <c r="B242" s="2" t="inlineStr">
        <is>
          <t>2026-08-19</t>
        </is>
      </c>
      <c r="C242" s="2" t="inlineStr">
        <is>
          <t>12:30</t>
        </is>
      </c>
      <c r="D242" s="2" t="inlineStr">
        <is>
          <t>Premier Soccer League</t>
        </is>
      </c>
      <c r="E242" s="2" t="inlineStr">
        <is>
          <t>Mamelodi Sundowns vs Marumo Gallants</t>
        </is>
      </c>
      <c r="F242" s="2" t="inlineStr">
        <is>
          <t>PENDIENTE</t>
        </is>
      </c>
      <c r="G242" s="2" t="inlineStr">
        <is>
          <t>SELECCIONAR MERCADO</t>
        </is>
      </c>
      <c r="H242" s="6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2" t="n"/>
      <c r="S242" s="7" t="n"/>
      <c r="T242" s="7">
        <f>IFERROR(1/H242,"")</f>
        <v/>
      </c>
      <c r="U242" s="7">
        <f>IF(OR(S242="",T242=""),"",S242-T242)</f>
        <v/>
      </c>
      <c r="V242" s="7">
        <f>IF(OR(S242="",H242=""),"",S242*H242-1)</f>
        <v/>
      </c>
      <c r="W242" s="2">
        <f>IF(E242="","",ROUND(100*(0.22*I242+0.18*J242+0.18*K242+0.10*L242+0.08*M242+0.06*N242+0.06*O242+0.04*P242+0.04*Q242+0.04*MIN(R242/10,1)),0))</f>
        <v/>
      </c>
      <c r="X242" s="2">
        <f>IF(W242="","",IF(W242&gt;=CONFIG!$B$11,"FUERTE",IF(W242&gt;=CONFIG!$B$12,"MEDIA","BAJA")))</f>
        <v/>
      </c>
      <c r="Y242" s="2">
        <f>IF(OR(H242="",S242=""),"",IF(OR(H242&lt;CONFIG!$B$2,H242&gt;CONFIG!$B$3),"NO APTO",IF(S242&lt;IF(H242&lt;1.6,CONFIG!$B$4,IF(H242&lt;1.7,CONFIG!$B$5,IF(H242&lt;1.8,CONFIG!$B$6,IF(H242&lt;2,CONFIG!$B$7,IF(H242&lt;2.2,CONFIG!$B$8,CONFIG!$B$9))))),"NO APTO",IF(V242&lt;CONFIG!$B$10,"NO APTO",IF(AND(W242&gt;=CONFIG!$B$11,R242&gt;=CONFIG!$B$13),"ALERTA FUERTE",IF(AND(W242&gt;=CONFIG!$B$12,R242&gt;=CONFIG!$B$13),"ALERTA MEDIA","NO APTO"))))))</f>
        <v/>
      </c>
      <c r="Z242" s="2">
        <f>IF(Y242="","",IF(Y242="NO APTO","Revisar cuota/probabilidad/EV/puntuación/muestra",IF(Y242="ALERTA FUERTE","Cumple filtros de cuota + probabilidad + EV + confianza + muestra","Cumple filtros, pero confianza inferior a FUERTE")))</f>
        <v/>
      </c>
    </row>
    <row r="243">
      <c r="A243" s="2">
        <f>IF(E243="","",ROW()-1)</f>
        <v/>
      </c>
      <c r="B243" s="2" t="inlineStr">
        <is>
          <t>2026-08-19</t>
        </is>
      </c>
      <c r="C243" s="2" t="inlineStr">
        <is>
          <t>12:30</t>
        </is>
      </c>
      <c r="D243" s="2" t="inlineStr">
        <is>
          <t>Friendlies Clubs</t>
        </is>
      </c>
      <c r="E243" s="2" t="inlineStr">
        <is>
          <t>Guijuelo vs Ribert</t>
        </is>
      </c>
      <c r="F243" s="2" t="inlineStr">
        <is>
          <t>PENDIENTE</t>
        </is>
      </c>
      <c r="G243" s="2" t="inlineStr">
        <is>
          <t>SELECCIONAR MERCADO</t>
        </is>
      </c>
      <c r="H243" s="6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2" t="n"/>
      <c r="S243" s="7" t="n"/>
      <c r="T243" s="7">
        <f>IFERROR(1/H243,"")</f>
        <v/>
      </c>
      <c r="U243" s="7">
        <f>IF(OR(S243="",T243=""),"",S243-T243)</f>
        <v/>
      </c>
      <c r="V243" s="7">
        <f>IF(OR(S243="",H243=""),"",S243*H243-1)</f>
        <v/>
      </c>
      <c r="W243" s="2">
        <f>IF(E243="","",ROUND(100*(0.22*I243+0.18*J243+0.18*K243+0.10*L243+0.08*M243+0.06*N243+0.06*O243+0.04*P243+0.04*Q243+0.04*MIN(R243/10,1)),0))</f>
        <v/>
      </c>
      <c r="X243" s="2">
        <f>IF(W243="","",IF(W243&gt;=CONFIG!$B$11,"FUERTE",IF(W243&gt;=CONFIG!$B$12,"MEDIA","BAJA")))</f>
        <v/>
      </c>
      <c r="Y243" s="2">
        <f>IF(OR(H243="",S243=""),"",IF(OR(H243&lt;CONFIG!$B$2,H243&gt;CONFIG!$B$3),"NO APTO",IF(S243&lt;IF(H243&lt;1.6,CONFIG!$B$4,IF(H243&lt;1.7,CONFIG!$B$5,IF(H243&lt;1.8,CONFIG!$B$6,IF(H243&lt;2,CONFIG!$B$7,IF(H243&lt;2.2,CONFIG!$B$8,CONFIG!$B$9))))),"NO APTO",IF(V243&lt;CONFIG!$B$10,"NO APTO",IF(AND(W243&gt;=CONFIG!$B$11,R243&gt;=CONFIG!$B$13),"ALERTA FUERTE",IF(AND(W243&gt;=CONFIG!$B$12,R243&gt;=CONFIG!$B$13),"ALERTA MEDIA","NO APTO"))))))</f>
        <v/>
      </c>
      <c r="Z243" s="2">
        <f>IF(Y243="","",IF(Y243="NO APTO","Revisar cuota/probabilidad/EV/puntuación/muestra",IF(Y243="ALERTA FUERTE","Cumple filtros de cuota + probabilidad + EV + confianza + muestra","Cumple filtros, pero confianza inferior a FUERTE")))</f>
        <v/>
      </c>
    </row>
    <row r="244">
      <c r="A244" s="2">
        <f>IF(E244="","",ROW()-1)</f>
        <v/>
      </c>
      <c r="B244" s="2" t="inlineStr">
        <is>
          <t>2026-08-19</t>
        </is>
      </c>
      <c r="C244" s="2" t="inlineStr">
        <is>
          <t>12:30</t>
        </is>
      </c>
      <c r="D244" s="2" t="inlineStr">
        <is>
          <t>Cupa României</t>
        </is>
      </c>
      <c r="E244" s="2" t="inlineStr">
        <is>
          <t>Concordia vs Oţelul</t>
        </is>
      </c>
      <c r="F244" s="2" t="inlineStr">
        <is>
          <t>PENDIENTE</t>
        </is>
      </c>
      <c r="G244" s="2" t="inlineStr">
        <is>
          <t>SELECCIONAR MERCADO</t>
        </is>
      </c>
      <c r="H244" s="6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2" t="n"/>
      <c r="S244" s="7" t="n"/>
      <c r="T244" s="7">
        <f>IFERROR(1/H244,"")</f>
        <v/>
      </c>
      <c r="U244" s="7">
        <f>IF(OR(S244="",T244=""),"",S244-T244)</f>
        <v/>
      </c>
      <c r="V244" s="7">
        <f>IF(OR(S244="",H244=""),"",S244*H244-1)</f>
        <v/>
      </c>
      <c r="W244" s="2">
        <f>IF(E244="","",ROUND(100*(0.22*I244+0.18*J244+0.18*K244+0.10*L244+0.08*M244+0.06*N244+0.06*O244+0.04*P244+0.04*Q244+0.04*MIN(R244/10,1)),0))</f>
        <v/>
      </c>
      <c r="X244" s="2">
        <f>IF(W244="","",IF(W244&gt;=CONFIG!$B$11,"FUERTE",IF(W244&gt;=CONFIG!$B$12,"MEDIA","BAJA")))</f>
        <v/>
      </c>
      <c r="Y244" s="2">
        <f>IF(OR(H244="",S244=""),"",IF(OR(H244&lt;CONFIG!$B$2,H244&gt;CONFIG!$B$3),"NO APTO",IF(S244&lt;IF(H244&lt;1.6,CONFIG!$B$4,IF(H244&lt;1.7,CONFIG!$B$5,IF(H244&lt;1.8,CONFIG!$B$6,IF(H244&lt;2,CONFIG!$B$7,IF(H244&lt;2.2,CONFIG!$B$8,CONFIG!$B$9))))),"NO APTO",IF(V244&lt;CONFIG!$B$10,"NO APTO",IF(AND(W244&gt;=CONFIG!$B$11,R244&gt;=CONFIG!$B$13),"ALERTA FUERTE",IF(AND(W244&gt;=CONFIG!$B$12,R244&gt;=CONFIG!$B$13),"ALERTA MEDIA","NO APTO"))))))</f>
        <v/>
      </c>
      <c r="Z244" s="2">
        <f>IF(Y244="","",IF(Y244="NO APTO","Revisar cuota/probabilidad/EV/puntuación/muestra",IF(Y244="ALERTA FUERTE","Cumple filtros de cuota + probabilidad + EV + confianza + muestra","Cumple filtros, pero confianza inferior a FUERTE")))</f>
        <v/>
      </c>
    </row>
    <row r="245">
      <c r="A245" s="2">
        <f>IF(E245="","",ROW()-1)</f>
        <v/>
      </c>
      <c r="B245" s="2" t="inlineStr">
        <is>
          <t>2026-08-19</t>
        </is>
      </c>
      <c r="C245" s="2" t="inlineStr">
        <is>
          <t>12:45</t>
        </is>
      </c>
      <c r="D245" s="2" t="inlineStr">
        <is>
          <t>Cup</t>
        </is>
      </c>
      <c r="E245" s="2" t="inlineStr">
        <is>
          <t>Dynamo vs FC Krasnodar</t>
        </is>
      </c>
      <c r="F245" s="2" t="inlineStr">
        <is>
          <t>PENDIENTE</t>
        </is>
      </c>
      <c r="G245" s="2" t="inlineStr">
        <is>
          <t>SELECCIONAR MERCADO</t>
        </is>
      </c>
      <c r="H245" s="6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2" t="n"/>
      <c r="S245" s="7" t="n"/>
      <c r="T245" s="7">
        <f>IFERROR(1/H245,"")</f>
        <v/>
      </c>
      <c r="U245" s="7">
        <f>IF(OR(S245="",T245=""),"",S245-T245)</f>
        <v/>
      </c>
      <c r="V245" s="7">
        <f>IF(OR(S245="",H245=""),"",S245*H245-1)</f>
        <v/>
      </c>
      <c r="W245" s="2">
        <f>IF(E245="","",ROUND(100*(0.22*I245+0.18*J245+0.18*K245+0.10*L245+0.08*M245+0.06*N245+0.06*O245+0.04*P245+0.04*Q245+0.04*MIN(R245/10,1)),0))</f>
        <v/>
      </c>
      <c r="X245" s="2">
        <f>IF(W245="","",IF(W245&gt;=CONFIG!$B$11,"FUERTE",IF(W245&gt;=CONFIG!$B$12,"MEDIA","BAJA")))</f>
        <v/>
      </c>
      <c r="Y245" s="2">
        <f>IF(OR(H245="",S245=""),"",IF(OR(H245&lt;CONFIG!$B$2,H245&gt;CONFIG!$B$3),"NO APTO",IF(S245&lt;IF(H245&lt;1.6,CONFIG!$B$4,IF(H245&lt;1.7,CONFIG!$B$5,IF(H245&lt;1.8,CONFIG!$B$6,IF(H245&lt;2,CONFIG!$B$7,IF(H245&lt;2.2,CONFIG!$B$8,CONFIG!$B$9))))),"NO APTO",IF(V245&lt;CONFIG!$B$10,"NO APTO",IF(AND(W245&gt;=CONFIG!$B$11,R245&gt;=CONFIG!$B$13),"ALERTA FUERTE",IF(AND(W245&gt;=CONFIG!$B$12,R245&gt;=CONFIG!$B$13),"ALERTA MEDIA","NO APTO"))))))</f>
        <v/>
      </c>
      <c r="Z245" s="2">
        <f>IF(Y245="","",IF(Y245="NO APTO","Revisar cuota/probabilidad/EV/puntuación/muestra",IF(Y245="ALERTA FUERTE","Cumple filtros de cuota + probabilidad + EV + confianza + muestra","Cumple filtros, pero confianza inferior a FUERTE")))</f>
        <v/>
      </c>
    </row>
    <row r="246">
      <c r="A246" s="2">
        <f>IF(E246="","",ROW()-1)</f>
        <v/>
      </c>
      <c r="B246" s="2" t="inlineStr">
        <is>
          <t>2026-08-19</t>
        </is>
      </c>
      <c r="C246" s="2" t="inlineStr">
        <is>
          <t>12:46</t>
        </is>
      </c>
      <c r="D246" s="2" t="inlineStr">
        <is>
          <t>III Liga - Group 4</t>
        </is>
      </c>
      <c r="E246" s="2" t="inlineStr">
        <is>
          <t>Wiślanie Jaśkowice vs KSZO 1929</t>
        </is>
      </c>
      <c r="F246" s="2" t="inlineStr">
        <is>
          <t>PENDIENTE</t>
        </is>
      </c>
      <c r="G246" s="2" t="inlineStr">
        <is>
          <t>SELECCIONAR MERCADO</t>
        </is>
      </c>
      <c r="H246" s="6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2" t="n"/>
      <c r="S246" s="7" t="n"/>
      <c r="T246" s="7">
        <f>IFERROR(1/H246,"")</f>
        <v/>
      </c>
      <c r="U246" s="7">
        <f>IF(OR(S246="",T246=""),"",S246-T246)</f>
        <v/>
      </c>
      <c r="V246" s="7">
        <f>IF(OR(S246="",H246=""),"",S246*H246-1)</f>
        <v/>
      </c>
      <c r="W246" s="2">
        <f>IF(E246="","",ROUND(100*(0.22*I246+0.18*J246+0.18*K246+0.10*L246+0.08*M246+0.06*N246+0.06*O246+0.04*P246+0.04*Q246+0.04*MIN(R246/10,1)),0))</f>
        <v/>
      </c>
      <c r="X246" s="2">
        <f>IF(W246="","",IF(W246&gt;=CONFIG!$B$11,"FUERTE",IF(W246&gt;=CONFIG!$B$12,"MEDIA","BAJA")))</f>
        <v/>
      </c>
      <c r="Y246" s="2">
        <f>IF(OR(H246="",S246=""),"",IF(OR(H246&lt;CONFIG!$B$2,H246&gt;CONFIG!$B$3),"NO APTO",IF(S246&lt;IF(H246&lt;1.6,CONFIG!$B$4,IF(H246&lt;1.7,CONFIG!$B$5,IF(H246&lt;1.8,CONFIG!$B$6,IF(H246&lt;2,CONFIG!$B$7,IF(H246&lt;2.2,CONFIG!$B$8,CONFIG!$B$9))))),"NO APTO",IF(V246&lt;CONFIG!$B$10,"NO APTO",IF(AND(W246&gt;=CONFIG!$B$11,R246&gt;=CONFIG!$B$13),"ALERTA FUERTE",IF(AND(W246&gt;=CONFIG!$B$12,R246&gt;=CONFIG!$B$13),"ALERTA MEDIA","NO APTO"))))))</f>
        <v/>
      </c>
      <c r="Z246" s="2">
        <f>IF(Y246="","",IF(Y246="NO APTO","Revisar cuota/probabilidad/EV/puntuación/muestra",IF(Y246="ALERTA FUERTE","Cumple filtros de cuota + probabilidad + EV + confianza + muestra","Cumple filtros, pero confianza inferior a FUERTE")))</f>
        <v/>
      </c>
    </row>
    <row r="247">
      <c r="A247" s="2">
        <f>IF(E247="","",ROW()-1)</f>
        <v/>
      </c>
      <c r="B247" s="2" t="inlineStr">
        <is>
          <t>2026-08-19</t>
        </is>
      </c>
      <c r="C247" s="2" t="inlineStr">
        <is>
          <t>13:00</t>
        </is>
      </c>
      <c r="D247" s="2" t="inlineStr">
        <is>
          <t>Primera Nacional</t>
        </is>
      </c>
      <c r="E247" s="2" t="inlineStr">
        <is>
          <t>Chacarita Juniors vs Club Atlético Güemes</t>
        </is>
      </c>
      <c r="F247" s="2" t="inlineStr">
        <is>
          <t>PENDIENTE</t>
        </is>
      </c>
      <c r="G247" s="2" t="inlineStr">
        <is>
          <t>SELECCIONAR MERCADO</t>
        </is>
      </c>
      <c r="H247" s="6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2" t="n"/>
      <c r="S247" s="7" t="n"/>
      <c r="T247" s="7">
        <f>IFERROR(1/H247,"")</f>
        <v/>
      </c>
      <c r="U247" s="7">
        <f>IF(OR(S247="",T247=""),"",S247-T247)</f>
        <v/>
      </c>
      <c r="V247" s="7">
        <f>IF(OR(S247="",H247=""),"",S247*H247-1)</f>
        <v/>
      </c>
      <c r="W247" s="2">
        <f>IF(E247="","",ROUND(100*(0.22*I247+0.18*J247+0.18*K247+0.10*L247+0.08*M247+0.06*N247+0.06*O247+0.04*P247+0.04*Q247+0.04*MIN(R247/10,1)),0))</f>
        <v/>
      </c>
      <c r="X247" s="2">
        <f>IF(W247="","",IF(W247&gt;=CONFIG!$B$11,"FUERTE",IF(W247&gt;=CONFIG!$B$12,"MEDIA","BAJA")))</f>
        <v/>
      </c>
      <c r="Y247" s="2">
        <f>IF(OR(H247="",S247=""),"",IF(OR(H247&lt;CONFIG!$B$2,H247&gt;CONFIG!$B$3),"NO APTO",IF(S247&lt;IF(H247&lt;1.6,CONFIG!$B$4,IF(H247&lt;1.7,CONFIG!$B$5,IF(H247&lt;1.8,CONFIG!$B$6,IF(H247&lt;2,CONFIG!$B$7,IF(H247&lt;2.2,CONFIG!$B$8,CONFIG!$B$9))))),"NO APTO",IF(V247&lt;CONFIG!$B$10,"NO APTO",IF(AND(W247&gt;=CONFIG!$B$11,R247&gt;=CONFIG!$B$13),"ALERTA FUERTE",IF(AND(W247&gt;=CONFIG!$B$12,R247&gt;=CONFIG!$B$13),"ALERTA MEDIA","NO APTO"))))))</f>
        <v/>
      </c>
      <c r="Z247" s="2">
        <f>IF(Y247="","",IF(Y247="NO APTO","Revisar cuota/probabilidad/EV/puntuación/muestra",IF(Y247="ALERTA FUERTE","Cumple filtros de cuota + probabilidad + EV + confianza + muestra","Cumple filtros, pero confianza inferior a FUERTE")))</f>
        <v/>
      </c>
    </row>
    <row r="248">
      <c r="A248" s="2">
        <f>IF(E248="","",ROW()-1)</f>
        <v/>
      </c>
      <c r="B248" s="2" t="inlineStr">
        <is>
          <t>2026-08-19</t>
        </is>
      </c>
      <c r="C248" s="2" t="inlineStr">
        <is>
          <t>13:00</t>
        </is>
      </c>
      <c r="D248" s="2" t="inlineStr">
        <is>
          <t>2. Deild</t>
        </is>
      </c>
      <c r="E248" s="2" t="inlineStr">
        <is>
          <t>Dalvík / Reynir vs Magni</t>
        </is>
      </c>
      <c r="F248" s="2" t="inlineStr">
        <is>
          <t>PENDIENTE</t>
        </is>
      </c>
      <c r="G248" s="2" t="inlineStr">
        <is>
          <t>SELECCIONAR MERCADO</t>
        </is>
      </c>
      <c r="H248" s="6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2" t="n"/>
      <c r="S248" s="7" t="n"/>
      <c r="T248" s="7">
        <f>IFERROR(1/H248,"")</f>
        <v/>
      </c>
      <c r="U248" s="7">
        <f>IF(OR(S248="",T248=""),"",S248-T248)</f>
        <v/>
      </c>
      <c r="V248" s="7">
        <f>IF(OR(S248="",H248=""),"",S248*H248-1)</f>
        <v/>
      </c>
      <c r="W248" s="2">
        <f>IF(E248="","",ROUND(100*(0.22*I248+0.18*J248+0.18*K248+0.10*L248+0.08*M248+0.06*N248+0.06*O248+0.04*P248+0.04*Q248+0.04*MIN(R248/10,1)),0))</f>
        <v/>
      </c>
      <c r="X248" s="2">
        <f>IF(W248="","",IF(W248&gt;=CONFIG!$B$11,"FUERTE",IF(W248&gt;=CONFIG!$B$12,"MEDIA","BAJA")))</f>
        <v/>
      </c>
      <c r="Y248" s="2">
        <f>IF(OR(H248="",S248=""),"",IF(OR(H248&lt;CONFIG!$B$2,H248&gt;CONFIG!$B$3),"NO APTO",IF(S248&lt;IF(H248&lt;1.6,CONFIG!$B$4,IF(H248&lt;1.7,CONFIG!$B$5,IF(H248&lt;1.8,CONFIG!$B$6,IF(H248&lt;2,CONFIG!$B$7,IF(H248&lt;2.2,CONFIG!$B$8,CONFIG!$B$9))))),"NO APTO",IF(V248&lt;CONFIG!$B$10,"NO APTO",IF(AND(W248&gt;=CONFIG!$B$11,R248&gt;=CONFIG!$B$13),"ALERTA FUERTE",IF(AND(W248&gt;=CONFIG!$B$12,R248&gt;=CONFIG!$B$13),"ALERTA MEDIA","NO APTO"))))))</f>
        <v/>
      </c>
      <c r="Z248" s="2">
        <f>IF(Y248="","",IF(Y248="NO APTO","Revisar cuota/probabilidad/EV/puntuación/muestra",IF(Y248="ALERTA FUERTE","Cumple filtros de cuota + probabilidad + EV + confianza + muestra","Cumple filtros, pero confianza inferior a FUERTE")))</f>
        <v/>
      </c>
    </row>
    <row r="249">
      <c r="A249" s="2">
        <f>IF(E249="","",ROW()-1)</f>
        <v/>
      </c>
      <c r="B249" s="2" t="inlineStr">
        <is>
          <t>2026-08-19</t>
        </is>
      </c>
      <c r="C249" s="2" t="inlineStr">
        <is>
          <t>13:00</t>
        </is>
      </c>
      <c r="D249" s="2" t="inlineStr">
        <is>
          <t>2. Deild</t>
        </is>
      </c>
      <c r="E249" s="2" t="inlineStr">
        <is>
          <t>Fjolnir vs Fjardabyggd / Leiknir</t>
        </is>
      </c>
      <c r="F249" s="2" t="inlineStr">
        <is>
          <t>PENDIENTE</t>
        </is>
      </c>
      <c r="G249" s="2" t="inlineStr">
        <is>
          <t>SELECCIONAR MERCADO</t>
        </is>
      </c>
      <c r="H249" s="6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2" t="n"/>
      <c r="S249" s="7" t="n"/>
      <c r="T249" s="7">
        <f>IFERROR(1/H249,"")</f>
        <v/>
      </c>
      <c r="U249" s="7">
        <f>IF(OR(S249="",T249=""),"",S249-T249)</f>
        <v/>
      </c>
      <c r="V249" s="7">
        <f>IF(OR(S249="",H249=""),"",S249*H249-1)</f>
        <v/>
      </c>
      <c r="W249" s="2">
        <f>IF(E249="","",ROUND(100*(0.22*I249+0.18*J249+0.18*K249+0.10*L249+0.08*M249+0.06*N249+0.06*O249+0.04*P249+0.04*Q249+0.04*MIN(R249/10,1)),0))</f>
        <v/>
      </c>
      <c r="X249" s="2">
        <f>IF(W249="","",IF(W249&gt;=CONFIG!$B$11,"FUERTE",IF(W249&gt;=CONFIG!$B$12,"MEDIA","BAJA")))</f>
        <v/>
      </c>
      <c r="Y249" s="2">
        <f>IF(OR(H249="",S249=""),"",IF(OR(H249&lt;CONFIG!$B$2,H249&gt;CONFIG!$B$3),"NO APTO",IF(S249&lt;IF(H249&lt;1.6,CONFIG!$B$4,IF(H249&lt;1.7,CONFIG!$B$5,IF(H249&lt;1.8,CONFIG!$B$6,IF(H249&lt;2,CONFIG!$B$7,IF(H249&lt;2.2,CONFIG!$B$8,CONFIG!$B$9))))),"NO APTO",IF(V249&lt;CONFIG!$B$10,"NO APTO",IF(AND(W249&gt;=CONFIG!$B$11,R249&gt;=CONFIG!$B$13),"ALERTA FUERTE",IF(AND(W249&gt;=CONFIG!$B$12,R249&gt;=CONFIG!$B$13),"ALERTA MEDIA","NO APTO"))))))</f>
        <v/>
      </c>
      <c r="Z249" s="2">
        <f>IF(Y249="","",IF(Y249="NO APTO","Revisar cuota/probabilidad/EV/puntuación/muestra",IF(Y249="ALERTA FUERTE","Cumple filtros de cuota + probabilidad + EV + confianza + muestra","Cumple filtros, pero confianza inferior a FUERTE")))</f>
        <v/>
      </c>
    </row>
    <row r="250">
      <c r="A250" s="2">
        <f>IF(E250="","",ROW()-1)</f>
        <v/>
      </c>
      <c r="B250" s="2" t="inlineStr">
        <is>
          <t>2026-08-19</t>
        </is>
      </c>
      <c r="C250" s="2" t="inlineStr">
        <is>
          <t>13:00</t>
        </is>
      </c>
      <c r="D250" s="2" t="inlineStr">
        <is>
          <t>2. Deild</t>
        </is>
      </c>
      <c r="E250" s="2" t="inlineStr">
        <is>
          <t>Hvíti riddarinn vs KFG</t>
        </is>
      </c>
      <c r="F250" s="2" t="inlineStr">
        <is>
          <t>PENDIENTE</t>
        </is>
      </c>
      <c r="G250" s="2" t="inlineStr">
        <is>
          <t>SELECCIONAR MERCADO</t>
        </is>
      </c>
      <c r="H250" s="6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2" t="n"/>
      <c r="S250" s="7" t="n"/>
      <c r="T250" s="7">
        <f>IFERROR(1/H250,"")</f>
        <v/>
      </c>
      <c r="U250" s="7">
        <f>IF(OR(S250="",T250=""),"",S250-T250)</f>
        <v/>
      </c>
      <c r="V250" s="7">
        <f>IF(OR(S250="",H250=""),"",S250*H250-1)</f>
        <v/>
      </c>
      <c r="W250" s="2">
        <f>IF(E250="","",ROUND(100*(0.22*I250+0.18*J250+0.18*K250+0.10*L250+0.08*M250+0.06*N250+0.06*O250+0.04*P250+0.04*Q250+0.04*MIN(R250/10,1)),0))</f>
        <v/>
      </c>
      <c r="X250" s="2">
        <f>IF(W250="","",IF(W250&gt;=CONFIG!$B$11,"FUERTE",IF(W250&gt;=CONFIG!$B$12,"MEDIA","BAJA")))</f>
        <v/>
      </c>
      <c r="Y250" s="2">
        <f>IF(OR(H250="",S250=""),"",IF(OR(H250&lt;CONFIG!$B$2,H250&gt;CONFIG!$B$3),"NO APTO",IF(S250&lt;IF(H250&lt;1.6,CONFIG!$B$4,IF(H250&lt;1.7,CONFIG!$B$5,IF(H250&lt;1.8,CONFIG!$B$6,IF(H250&lt;2,CONFIG!$B$7,IF(H250&lt;2.2,CONFIG!$B$8,CONFIG!$B$9))))),"NO APTO",IF(V250&lt;CONFIG!$B$10,"NO APTO",IF(AND(W250&gt;=CONFIG!$B$11,R250&gt;=CONFIG!$B$13),"ALERTA FUERTE",IF(AND(W250&gt;=CONFIG!$B$12,R250&gt;=CONFIG!$B$13),"ALERTA MEDIA","NO APTO"))))))</f>
        <v/>
      </c>
      <c r="Z250" s="2">
        <f>IF(Y250="","",IF(Y250="NO APTO","Revisar cuota/probabilidad/EV/puntuación/muestra",IF(Y250="ALERTA FUERTE","Cumple filtros de cuota + probabilidad + EV + confianza + muestra","Cumple filtros, pero confianza inferior a FUERTE")))</f>
        <v/>
      </c>
    </row>
    <row r="251">
      <c r="A251" s="2">
        <f>IF(E251="","",ROW()-1)</f>
        <v/>
      </c>
      <c r="B251" s="2" t="inlineStr">
        <is>
          <t>2026-08-19</t>
        </is>
      </c>
      <c r="C251" s="2" t="inlineStr">
        <is>
          <t>13:00</t>
        </is>
      </c>
      <c r="D251" s="2" t="inlineStr">
        <is>
          <t>2. Deild</t>
        </is>
      </c>
      <c r="E251" s="2" t="inlineStr">
        <is>
          <t>Kormákur / Hvöt vs Haukar</t>
        </is>
      </c>
      <c r="F251" s="2" t="inlineStr">
        <is>
          <t>PENDIENTE</t>
        </is>
      </c>
      <c r="G251" s="2" t="inlineStr">
        <is>
          <t>SELECCIONAR MERCADO</t>
        </is>
      </c>
      <c r="H251" s="6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2" t="n"/>
      <c r="S251" s="7" t="n"/>
      <c r="T251" s="7">
        <f>IFERROR(1/H251,"")</f>
        <v/>
      </c>
      <c r="U251" s="7">
        <f>IF(OR(S251="",T251=""),"",S251-T251)</f>
        <v/>
      </c>
      <c r="V251" s="7">
        <f>IF(OR(S251="",H251=""),"",S251*H251-1)</f>
        <v/>
      </c>
      <c r="W251" s="2">
        <f>IF(E251="","",ROUND(100*(0.22*I251+0.18*J251+0.18*K251+0.10*L251+0.08*M251+0.06*N251+0.06*O251+0.04*P251+0.04*Q251+0.04*MIN(R251/10,1)),0))</f>
        <v/>
      </c>
      <c r="X251" s="2">
        <f>IF(W251="","",IF(W251&gt;=CONFIG!$B$11,"FUERTE",IF(W251&gt;=CONFIG!$B$12,"MEDIA","BAJA")))</f>
        <v/>
      </c>
      <c r="Y251" s="2">
        <f>IF(OR(H251="",S251=""),"",IF(OR(H251&lt;CONFIG!$B$2,H251&gt;CONFIG!$B$3),"NO APTO",IF(S251&lt;IF(H251&lt;1.6,CONFIG!$B$4,IF(H251&lt;1.7,CONFIG!$B$5,IF(H251&lt;1.8,CONFIG!$B$6,IF(H251&lt;2,CONFIG!$B$7,IF(H251&lt;2.2,CONFIG!$B$8,CONFIG!$B$9))))),"NO APTO",IF(V251&lt;CONFIG!$B$10,"NO APTO",IF(AND(W251&gt;=CONFIG!$B$11,R251&gt;=CONFIG!$B$13),"ALERTA FUERTE",IF(AND(W251&gt;=CONFIG!$B$12,R251&gt;=CONFIG!$B$13),"ALERTA MEDIA","NO APTO"))))))</f>
        <v/>
      </c>
      <c r="Z251" s="2">
        <f>IF(Y251="","",IF(Y251="NO APTO","Revisar cuota/probabilidad/EV/puntuación/muestra",IF(Y251="ALERTA FUERTE","Cumple filtros de cuota + probabilidad + EV + confianza + muestra","Cumple filtros, pero confianza inferior a FUERTE")))</f>
        <v/>
      </c>
    </row>
    <row r="252">
      <c r="A252" s="2">
        <f>IF(E252="","",ROW()-1)</f>
        <v/>
      </c>
      <c r="B252" s="2" t="inlineStr">
        <is>
          <t>2026-08-19</t>
        </is>
      </c>
      <c r="C252" s="2" t="inlineStr">
        <is>
          <t>13:00</t>
        </is>
      </c>
      <c r="D252" s="2" t="inlineStr">
        <is>
          <t>2. Deild</t>
        </is>
      </c>
      <c r="E252" s="2" t="inlineStr">
        <is>
          <t>Vikingur Olafsiik vs Thróttur Vogar</t>
        </is>
      </c>
      <c r="F252" s="2" t="inlineStr">
        <is>
          <t>PENDIENTE</t>
        </is>
      </c>
      <c r="G252" s="2" t="inlineStr">
        <is>
          <t>SELECCIONAR MERCADO</t>
        </is>
      </c>
      <c r="H252" s="6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2" t="n"/>
      <c r="S252" s="7" t="n"/>
      <c r="T252" s="7">
        <f>IFERROR(1/H252,"")</f>
        <v/>
      </c>
      <c r="U252" s="7">
        <f>IF(OR(S252="",T252=""),"",S252-T252)</f>
        <v/>
      </c>
      <c r="V252" s="7">
        <f>IF(OR(S252="",H252=""),"",S252*H252-1)</f>
        <v/>
      </c>
      <c r="W252" s="2">
        <f>IF(E252="","",ROUND(100*(0.22*I252+0.18*J252+0.18*K252+0.10*L252+0.08*M252+0.06*N252+0.06*O252+0.04*P252+0.04*Q252+0.04*MIN(R252/10,1)),0))</f>
        <v/>
      </c>
      <c r="X252" s="2">
        <f>IF(W252="","",IF(W252&gt;=CONFIG!$B$11,"FUERTE",IF(W252&gt;=CONFIG!$B$12,"MEDIA","BAJA")))</f>
        <v/>
      </c>
      <c r="Y252" s="2">
        <f>IF(OR(H252="",S252=""),"",IF(OR(H252&lt;CONFIG!$B$2,H252&gt;CONFIG!$B$3),"NO APTO",IF(S252&lt;IF(H252&lt;1.6,CONFIG!$B$4,IF(H252&lt;1.7,CONFIG!$B$5,IF(H252&lt;1.8,CONFIG!$B$6,IF(H252&lt;2,CONFIG!$B$7,IF(H252&lt;2.2,CONFIG!$B$8,CONFIG!$B$9))))),"NO APTO",IF(V252&lt;CONFIG!$B$10,"NO APTO",IF(AND(W252&gt;=CONFIG!$B$11,R252&gt;=CONFIG!$B$13),"ALERTA FUERTE",IF(AND(W252&gt;=CONFIG!$B$12,R252&gt;=CONFIG!$B$13),"ALERTA MEDIA","NO APTO"))))))</f>
        <v/>
      </c>
      <c r="Z252" s="2">
        <f>IF(Y252="","",IF(Y252="NO APTO","Revisar cuota/probabilidad/EV/puntuación/muestra",IF(Y252="ALERTA FUERTE","Cumple filtros de cuota + probabilidad + EV + confianza + muestra","Cumple filtros, pero confianza inferior a FUERTE")))</f>
        <v/>
      </c>
    </row>
    <row r="253">
      <c r="A253" s="2">
        <f>IF(E253="","",ROW()-1)</f>
        <v/>
      </c>
      <c r="B253" s="2" t="inlineStr">
        <is>
          <t>2026-08-19</t>
        </is>
      </c>
      <c r="C253" s="2" t="inlineStr">
        <is>
          <t>13:00</t>
        </is>
      </c>
      <c r="D253" s="2" t="inlineStr">
        <is>
          <t>2. Deild</t>
        </is>
      </c>
      <c r="E253" s="2" t="inlineStr">
        <is>
          <t>Selfoss vs Kári</t>
        </is>
      </c>
      <c r="F253" s="2" t="inlineStr">
        <is>
          <t>PENDIENTE</t>
        </is>
      </c>
      <c r="G253" s="2" t="inlineStr">
        <is>
          <t>SELECCIONAR MERCADO</t>
        </is>
      </c>
      <c r="H253" s="6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2" t="n"/>
      <c r="S253" s="7" t="n"/>
      <c r="T253" s="7">
        <f>IFERROR(1/H253,"")</f>
        <v/>
      </c>
      <c r="U253" s="7">
        <f>IF(OR(S253="",T253=""),"",S253-T253)</f>
        <v/>
      </c>
      <c r="V253" s="7">
        <f>IF(OR(S253="",H253=""),"",S253*H253-1)</f>
        <v/>
      </c>
      <c r="W253" s="2">
        <f>IF(E253="","",ROUND(100*(0.22*I253+0.18*J253+0.18*K253+0.10*L253+0.08*M253+0.06*N253+0.06*O253+0.04*P253+0.04*Q253+0.04*MIN(R253/10,1)),0))</f>
        <v/>
      </c>
      <c r="X253" s="2">
        <f>IF(W253="","",IF(W253&gt;=CONFIG!$B$11,"FUERTE",IF(W253&gt;=CONFIG!$B$12,"MEDIA","BAJA")))</f>
        <v/>
      </c>
      <c r="Y253" s="2">
        <f>IF(OR(H253="",S253=""),"",IF(OR(H253&lt;CONFIG!$B$2,H253&gt;CONFIG!$B$3),"NO APTO",IF(S253&lt;IF(H253&lt;1.6,CONFIG!$B$4,IF(H253&lt;1.7,CONFIG!$B$5,IF(H253&lt;1.8,CONFIG!$B$6,IF(H253&lt;2,CONFIG!$B$7,IF(H253&lt;2.2,CONFIG!$B$8,CONFIG!$B$9))))),"NO APTO",IF(V253&lt;CONFIG!$B$10,"NO APTO",IF(AND(W253&gt;=CONFIG!$B$11,R253&gt;=CONFIG!$B$13),"ALERTA FUERTE",IF(AND(W253&gt;=CONFIG!$B$12,R253&gt;=CONFIG!$B$13),"ALERTA MEDIA","NO APTO"))))))</f>
        <v/>
      </c>
      <c r="Z253" s="2">
        <f>IF(Y253="","",IF(Y253="NO APTO","Revisar cuota/probabilidad/EV/puntuación/muestra",IF(Y253="ALERTA FUERTE","Cumple filtros de cuota + probabilidad + EV + confianza + muestra","Cumple filtros, pero confianza inferior a FUERTE")))</f>
        <v/>
      </c>
    </row>
    <row r="254">
      <c r="A254" s="2">
        <f>IF(E254="","",ROW()-1)</f>
        <v/>
      </c>
      <c r="B254" s="2" t="inlineStr">
        <is>
          <t>2026-08-19</t>
        </is>
      </c>
      <c r="C254" s="2" t="inlineStr">
        <is>
          <t>13:00</t>
        </is>
      </c>
      <c r="D254" s="2" t="inlineStr">
        <is>
          <t>Capixaba B</t>
        </is>
      </c>
      <c r="E254" s="2" t="inlineStr">
        <is>
          <t>Tupy vs Sport Brasil ES</t>
        </is>
      </c>
      <c r="F254" s="2" t="inlineStr">
        <is>
          <t>PENDIENTE</t>
        </is>
      </c>
      <c r="G254" s="2" t="inlineStr">
        <is>
          <t>SELECCIONAR MERCADO</t>
        </is>
      </c>
      <c r="H254" s="6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2" t="n"/>
      <c r="S254" s="7" t="n"/>
      <c r="T254" s="7">
        <f>IFERROR(1/H254,"")</f>
        <v/>
      </c>
      <c r="U254" s="7">
        <f>IF(OR(S254="",T254=""),"",S254-T254)</f>
        <v/>
      </c>
      <c r="V254" s="7">
        <f>IF(OR(S254="",H254=""),"",S254*H254-1)</f>
        <v/>
      </c>
      <c r="W254" s="2">
        <f>IF(E254="","",ROUND(100*(0.22*I254+0.18*J254+0.18*K254+0.10*L254+0.08*M254+0.06*N254+0.06*O254+0.04*P254+0.04*Q254+0.04*MIN(R254/10,1)),0))</f>
        <v/>
      </c>
      <c r="X254" s="2">
        <f>IF(W254="","",IF(W254&gt;=CONFIG!$B$11,"FUERTE",IF(W254&gt;=CONFIG!$B$12,"MEDIA","BAJA")))</f>
        <v/>
      </c>
      <c r="Y254" s="2">
        <f>IF(OR(H254="",S254=""),"",IF(OR(H254&lt;CONFIG!$B$2,H254&gt;CONFIG!$B$3),"NO APTO",IF(S254&lt;IF(H254&lt;1.6,CONFIG!$B$4,IF(H254&lt;1.7,CONFIG!$B$5,IF(H254&lt;1.8,CONFIG!$B$6,IF(H254&lt;2,CONFIG!$B$7,IF(H254&lt;2.2,CONFIG!$B$8,CONFIG!$B$9))))),"NO APTO",IF(V254&lt;CONFIG!$B$10,"NO APTO",IF(AND(W254&gt;=CONFIG!$B$11,R254&gt;=CONFIG!$B$13),"ALERTA FUERTE",IF(AND(W254&gt;=CONFIG!$B$12,R254&gt;=CONFIG!$B$13),"ALERTA MEDIA","NO APTO"))))))</f>
        <v/>
      </c>
      <c r="Z254" s="2">
        <f>IF(Y254="","",IF(Y254="NO APTO","Revisar cuota/probabilidad/EV/puntuación/muestra",IF(Y254="ALERTA FUERTE","Cumple filtros de cuota + probabilidad + EV + confianza + muestra","Cumple filtros, pero confianza inferior a FUERTE")))</f>
        <v/>
      </c>
    </row>
    <row r="255">
      <c r="A255" s="2">
        <f>IF(E255="","",ROW()-1)</f>
        <v/>
      </c>
      <c r="B255" s="2" t="inlineStr">
        <is>
          <t>2026-08-19</t>
        </is>
      </c>
      <c r="C255" s="2" t="inlineStr">
        <is>
          <t>13:00</t>
        </is>
      </c>
      <c r="D255" s="2" t="inlineStr">
        <is>
          <t>Prva Liga</t>
        </is>
      </c>
      <c r="E255" s="2" t="inlineStr">
        <is>
          <t>Borac Cacak vs Naftagas</t>
        </is>
      </c>
      <c r="F255" s="2" t="inlineStr">
        <is>
          <t>PENDIENTE</t>
        </is>
      </c>
      <c r="G255" s="2" t="inlineStr">
        <is>
          <t>SELECCIONAR MERCADO</t>
        </is>
      </c>
      <c r="H255" s="6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2" t="n"/>
      <c r="S255" s="7" t="n"/>
      <c r="T255" s="7">
        <f>IFERROR(1/H255,"")</f>
        <v/>
      </c>
      <c r="U255" s="7">
        <f>IF(OR(S255="",T255=""),"",S255-T255)</f>
        <v/>
      </c>
      <c r="V255" s="7">
        <f>IF(OR(S255="",H255=""),"",S255*H255-1)</f>
        <v/>
      </c>
      <c r="W255" s="2">
        <f>IF(E255="","",ROUND(100*(0.22*I255+0.18*J255+0.18*K255+0.10*L255+0.08*M255+0.06*N255+0.06*O255+0.04*P255+0.04*Q255+0.04*MIN(R255/10,1)),0))</f>
        <v/>
      </c>
      <c r="X255" s="2">
        <f>IF(W255="","",IF(W255&gt;=CONFIG!$B$11,"FUERTE",IF(W255&gt;=CONFIG!$B$12,"MEDIA","BAJA")))</f>
        <v/>
      </c>
      <c r="Y255" s="2">
        <f>IF(OR(H255="",S255=""),"",IF(OR(H255&lt;CONFIG!$B$2,H255&gt;CONFIG!$B$3),"NO APTO",IF(S255&lt;IF(H255&lt;1.6,CONFIG!$B$4,IF(H255&lt;1.7,CONFIG!$B$5,IF(H255&lt;1.8,CONFIG!$B$6,IF(H255&lt;2,CONFIG!$B$7,IF(H255&lt;2.2,CONFIG!$B$8,CONFIG!$B$9))))),"NO APTO",IF(V255&lt;CONFIG!$B$10,"NO APTO",IF(AND(W255&gt;=CONFIG!$B$11,R255&gt;=CONFIG!$B$13),"ALERTA FUERTE",IF(AND(W255&gt;=CONFIG!$B$12,R255&gt;=CONFIG!$B$13),"ALERTA MEDIA","NO APTO"))))))</f>
        <v/>
      </c>
      <c r="Z255" s="2">
        <f>IF(Y255="","",IF(Y255="NO APTO","Revisar cuota/probabilidad/EV/puntuación/muestra",IF(Y255="ALERTA FUERTE","Cumple filtros de cuota + probabilidad + EV + confianza + muestra","Cumple filtros, pero confianza inferior a FUERTE")))</f>
        <v/>
      </c>
    </row>
    <row r="256">
      <c r="A256" s="2">
        <f>IF(E256="","",ROW()-1)</f>
        <v/>
      </c>
      <c r="B256" s="2" t="inlineStr">
        <is>
          <t>2026-08-19</t>
        </is>
      </c>
      <c r="C256" s="2" t="inlineStr">
        <is>
          <t>13:00</t>
        </is>
      </c>
      <c r="D256" s="2" t="inlineStr">
        <is>
          <t>Prva Liga</t>
        </is>
      </c>
      <c r="E256" s="2" t="inlineStr">
        <is>
          <t>Metalac GM vs Semendrija 1924</t>
        </is>
      </c>
      <c r="F256" s="2" t="inlineStr">
        <is>
          <t>PENDIENTE</t>
        </is>
      </c>
      <c r="G256" s="2" t="inlineStr">
        <is>
          <t>SELECCIONAR MERCADO</t>
        </is>
      </c>
      <c r="H256" s="6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2" t="n"/>
      <c r="S256" s="7" t="n"/>
      <c r="T256" s="7">
        <f>IFERROR(1/H256,"")</f>
        <v/>
      </c>
      <c r="U256" s="7">
        <f>IF(OR(S256="",T256=""),"",S256-T256)</f>
        <v/>
      </c>
      <c r="V256" s="7">
        <f>IF(OR(S256="",H256=""),"",S256*H256-1)</f>
        <v/>
      </c>
      <c r="W256" s="2">
        <f>IF(E256="","",ROUND(100*(0.22*I256+0.18*J256+0.18*K256+0.10*L256+0.08*M256+0.06*N256+0.06*O256+0.04*P256+0.04*Q256+0.04*MIN(R256/10,1)),0))</f>
        <v/>
      </c>
      <c r="X256" s="2">
        <f>IF(W256="","",IF(W256&gt;=CONFIG!$B$11,"FUERTE",IF(W256&gt;=CONFIG!$B$12,"MEDIA","BAJA")))</f>
        <v/>
      </c>
      <c r="Y256" s="2">
        <f>IF(OR(H256="",S256=""),"",IF(OR(H256&lt;CONFIG!$B$2,H256&gt;CONFIG!$B$3),"NO APTO",IF(S256&lt;IF(H256&lt;1.6,CONFIG!$B$4,IF(H256&lt;1.7,CONFIG!$B$5,IF(H256&lt;1.8,CONFIG!$B$6,IF(H256&lt;2,CONFIG!$B$7,IF(H256&lt;2.2,CONFIG!$B$8,CONFIG!$B$9))))),"NO APTO",IF(V256&lt;CONFIG!$B$10,"NO APTO",IF(AND(W256&gt;=CONFIG!$B$11,R256&gt;=CONFIG!$B$13),"ALERTA FUERTE",IF(AND(W256&gt;=CONFIG!$B$12,R256&gt;=CONFIG!$B$13),"ALERTA MEDIA","NO APTO"))))))</f>
        <v/>
      </c>
      <c r="Z256" s="2">
        <f>IF(Y256="","",IF(Y256="NO APTO","Revisar cuota/probabilidad/EV/puntuación/muestra",IF(Y256="ALERTA FUERTE","Cumple filtros de cuota + probabilidad + EV + confianza + muestra","Cumple filtros, pero confianza inferior a FUERTE")))</f>
        <v/>
      </c>
    </row>
    <row r="257">
      <c r="A257" s="2">
        <f>IF(E257="","",ROW()-1)</f>
        <v/>
      </c>
      <c r="B257" s="2" t="inlineStr">
        <is>
          <t>2026-08-19</t>
        </is>
      </c>
      <c r="C257" s="2" t="inlineStr">
        <is>
          <t>13:00</t>
        </is>
      </c>
      <c r="D257" s="2" t="inlineStr">
        <is>
          <t>King's Cup</t>
        </is>
      </c>
      <c r="E257" s="2" t="inlineStr">
        <is>
          <t>Al Ula vs Al-Fateh</t>
        </is>
      </c>
      <c r="F257" s="2" t="inlineStr">
        <is>
          <t>PENDIENTE</t>
        </is>
      </c>
      <c r="G257" s="2" t="inlineStr">
        <is>
          <t>SELECCIONAR MERCADO</t>
        </is>
      </c>
      <c r="H257" s="6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2" t="n"/>
      <c r="S257" s="7" t="n"/>
      <c r="T257" s="7">
        <f>IFERROR(1/H257,"")</f>
        <v/>
      </c>
      <c r="U257" s="7">
        <f>IF(OR(S257="",T257=""),"",S257-T257)</f>
        <v/>
      </c>
      <c r="V257" s="7">
        <f>IF(OR(S257="",H257=""),"",S257*H257-1)</f>
        <v/>
      </c>
      <c r="W257" s="2">
        <f>IF(E257="","",ROUND(100*(0.22*I257+0.18*J257+0.18*K257+0.10*L257+0.08*M257+0.06*N257+0.06*O257+0.04*P257+0.04*Q257+0.04*MIN(R257/10,1)),0))</f>
        <v/>
      </c>
      <c r="X257" s="2">
        <f>IF(W257="","",IF(W257&gt;=CONFIG!$B$11,"FUERTE",IF(W257&gt;=CONFIG!$B$12,"MEDIA","BAJA")))</f>
        <v/>
      </c>
      <c r="Y257" s="2">
        <f>IF(OR(H257="",S257=""),"",IF(OR(H257&lt;CONFIG!$B$2,H257&gt;CONFIG!$B$3),"NO APTO",IF(S257&lt;IF(H257&lt;1.6,CONFIG!$B$4,IF(H257&lt;1.7,CONFIG!$B$5,IF(H257&lt;1.8,CONFIG!$B$6,IF(H257&lt;2,CONFIG!$B$7,IF(H257&lt;2.2,CONFIG!$B$8,CONFIG!$B$9))))),"NO APTO",IF(V257&lt;CONFIG!$B$10,"NO APTO",IF(AND(W257&gt;=CONFIG!$B$11,R257&gt;=CONFIG!$B$13),"ALERTA FUERTE",IF(AND(W257&gt;=CONFIG!$B$12,R257&gt;=CONFIG!$B$13),"ALERTA MEDIA","NO APTO"))))))</f>
        <v/>
      </c>
      <c r="Z257" s="2">
        <f>IF(Y257="","",IF(Y257="NO APTO","Revisar cuota/probabilidad/EV/puntuación/muestra",IF(Y257="ALERTA FUERTE","Cumple filtros de cuota + probabilidad + EV + confianza + muestra","Cumple filtros, pero confianza inferior a FUERTE")))</f>
        <v/>
      </c>
    </row>
    <row r="258">
      <c r="A258" s="2">
        <f>IF(E258="","",ROW()-1)</f>
        <v/>
      </c>
      <c r="B258" s="2" t="inlineStr">
        <is>
          <t>2026-08-19</t>
        </is>
      </c>
      <c r="C258" s="2" t="inlineStr">
        <is>
          <t>13:00</t>
        </is>
      </c>
      <c r="D258" s="2" t="inlineStr">
        <is>
          <t>III Liga - Group 3</t>
        </is>
      </c>
      <c r="E258" s="2" t="inlineStr">
        <is>
          <t>Polonia Nysa vs Stal Brzeg</t>
        </is>
      </c>
      <c r="F258" s="2" t="inlineStr">
        <is>
          <t>PENDIENTE</t>
        </is>
      </c>
      <c r="G258" s="2" t="inlineStr">
        <is>
          <t>SELECCIONAR MERCADO</t>
        </is>
      </c>
      <c r="H258" s="6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2" t="n"/>
      <c r="S258" s="7" t="n"/>
      <c r="T258" s="7">
        <f>IFERROR(1/H258,"")</f>
        <v/>
      </c>
      <c r="U258" s="7">
        <f>IF(OR(S258="",T258=""),"",S258-T258)</f>
        <v/>
      </c>
      <c r="V258" s="7">
        <f>IF(OR(S258="",H258=""),"",S258*H258-1)</f>
        <v/>
      </c>
      <c r="W258" s="2">
        <f>IF(E258="","",ROUND(100*(0.22*I258+0.18*J258+0.18*K258+0.10*L258+0.08*M258+0.06*N258+0.06*O258+0.04*P258+0.04*Q258+0.04*MIN(R258/10,1)),0))</f>
        <v/>
      </c>
      <c r="X258" s="2">
        <f>IF(W258="","",IF(W258&gt;=CONFIG!$B$11,"FUERTE",IF(W258&gt;=CONFIG!$B$12,"MEDIA","BAJA")))</f>
        <v/>
      </c>
      <c r="Y258" s="2">
        <f>IF(OR(H258="",S258=""),"",IF(OR(H258&lt;CONFIG!$B$2,H258&gt;CONFIG!$B$3),"NO APTO",IF(S258&lt;IF(H258&lt;1.6,CONFIG!$B$4,IF(H258&lt;1.7,CONFIG!$B$5,IF(H258&lt;1.8,CONFIG!$B$6,IF(H258&lt;2,CONFIG!$B$7,IF(H258&lt;2.2,CONFIG!$B$8,CONFIG!$B$9))))),"NO APTO",IF(V258&lt;CONFIG!$B$10,"NO APTO",IF(AND(W258&gt;=CONFIG!$B$11,R258&gt;=CONFIG!$B$13),"ALERTA FUERTE",IF(AND(W258&gt;=CONFIG!$B$12,R258&gt;=CONFIG!$B$13),"ALERTA MEDIA","NO APTO"))))))</f>
        <v/>
      </c>
      <c r="Z258" s="2">
        <f>IF(Y258="","",IF(Y258="NO APTO","Revisar cuota/probabilidad/EV/puntuación/muestra",IF(Y258="ALERTA FUERTE","Cumple filtros de cuota + probabilidad + EV + confianza + muestra","Cumple filtros, pero confianza inferior a FUERTE")))</f>
        <v/>
      </c>
    </row>
    <row r="259">
      <c r="A259" s="2">
        <f>IF(E259="","",ROW()-1)</f>
        <v/>
      </c>
      <c r="B259" s="2" t="inlineStr">
        <is>
          <t>2026-08-19</t>
        </is>
      </c>
      <c r="C259" s="2" t="inlineStr">
        <is>
          <t>13:00</t>
        </is>
      </c>
      <c r="D259" s="2" t="inlineStr">
        <is>
          <t>1. Liga Promotion</t>
        </is>
      </c>
      <c r="E259" s="2" t="inlineStr">
        <is>
          <t>YF Juventus vs Bavois</t>
        </is>
      </c>
      <c r="F259" s="2" t="inlineStr">
        <is>
          <t>PENDIENTE</t>
        </is>
      </c>
      <c r="G259" s="2" t="inlineStr">
        <is>
          <t>SELECCIONAR MERCADO</t>
        </is>
      </c>
      <c r="H259" s="6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2" t="n"/>
      <c r="S259" s="7" t="n"/>
      <c r="T259" s="7">
        <f>IFERROR(1/H259,"")</f>
        <v/>
      </c>
      <c r="U259" s="7">
        <f>IF(OR(S259="",T259=""),"",S259-T259)</f>
        <v/>
      </c>
      <c r="V259" s="7">
        <f>IF(OR(S259="",H259=""),"",S259*H259-1)</f>
        <v/>
      </c>
      <c r="W259" s="2">
        <f>IF(E259="","",ROUND(100*(0.22*I259+0.18*J259+0.18*K259+0.10*L259+0.08*M259+0.06*N259+0.06*O259+0.04*P259+0.04*Q259+0.04*MIN(R259/10,1)),0))</f>
        <v/>
      </c>
      <c r="X259" s="2">
        <f>IF(W259="","",IF(W259&gt;=CONFIG!$B$11,"FUERTE",IF(W259&gt;=CONFIG!$B$12,"MEDIA","BAJA")))</f>
        <v/>
      </c>
      <c r="Y259" s="2">
        <f>IF(OR(H259="",S259=""),"",IF(OR(H259&lt;CONFIG!$B$2,H259&gt;CONFIG!$B$3),"NO APTO",IF(S259&lt;IF(H259&lt;1.6,CONFIG!$B$4,IF(H259&lt;1.7,CONFIG!$B$5,IF(H259&lt;1.8,CONFIG!$B$6,IF(H259&lt;2,CONFIG!$B$7,IF(H259&lt;2.2,CONFIG!$B$8,CONFIG!$B$9))))),"NO APTO",IF(V259&lt;CONFIG!$B$10,"NO APTO",IF(AND(W259&gt;=CONFIG!$B$11,R259&gt;=CONFIG!$B$13),"ALERTA FUERTE",IF(AND(W259&gt;=CONFIG!$B$12,R259&gt;=CONFIG!$B$13),"ALERTA MEDIA","NO APTO"))))))</f>
        <v/>
      </c>
      <c r="Z259" s="2">
        <f>IF(Y259="","",IF(Y259="NO APTO","Revisar cuota/probabilidad/EV/puntuación/muestra",IF(Y259="ALERTA FUERTE","Cumple filtros de cuota + probabilidad + EV + confianza + muestra","Cumple filtros, pero confianza inferior a FUERTE")))</f>
        <v/>
      </c>
    </row>
    <row r="260">
      <c r="A260" s="2">
        <f>IF(E260="","",ROW()-1)</f>
        <v/>
      </c>
      <c r="B260" s="2" t="inlineStr">
        <is>
          <t>2026-08-19</t>
        </is>
      </c>
      <c r="C260" s="2" t="inlineStr">
        <is>
          <t>13:00</t>
        </is>
      </c>
      <c r="D260" s="2" t="inlineStr">
        <is>
          <t>EFL Trophy</t>
        </is>
      </c>
      <c r="E260" s="2" t="inlineStr">
        <is>
          <t>Mansfield Town vs Manchester City U21</t>
        </is>
      </c>
      <c r="F260" s="2" t="inlineStr">
        <is>
          <t>PENDIENTE</t>
        </is>
      </c>
      <c r="G260" s="2" t="inlineStr">
        <is>
          <t>SELECCIONAR MERCADO</t>
        </is>
      </c>
      <c r="H260" s="6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2" t="n"/>
      <c r="S260" s="7" t="n"/>
      <c r="T260" s="7">
        <f>IFERROR(1/H260,"")</f>
        <v/>
      </c>
      <c r="U260" s="7">
        <f>IF(OR(S260="",T260=""),"",S260-T260)</f>
        <v/>
      </c>
      <c r="V260" s="7">
        <f>IF(OR(S260="",H260=""),"",S260*H260-1)</f>
        <v/>
      </c>
      <c r="W260" s="2">
        <f>IF(E260="","",ROUND(100*(0.22*I260+0.18*J260+0.18*K260+0.10*L260+0.08*M260+0.06*N260+0.06*O260+0.04*P260+0.04*Q260+0.04*MIN(R260/10,1)),0))</f>
        <v/>
      </c>
      <c r="X260" s="2">
        <f>IF(W260="","",IF(W260&gt;=CONFIG!$B$11,"FUERTE",IF(W260&gt;=CONFIG!$B$12,"MEDIA","BAJA")))</f>
        <v/>
      </c>
      <c r="Y260" s="2">
        <f>IF(OR(H260="",S260=""),"",IF(OR(H260&lt;CONFIG!$B$2,H260&gt;CONFIG!$B$3),"NO APTO",IF(S260&lt;IF(H260&lt;1.6,CONFIG!$B$4,IF(H260&lt;1.7,CONFIG!$B$5,IF(H260&lt;1.8,CONFIG!$B$6,IF(H260&lt;2,CONFIG!$B$7,IF(H260&lt;2.2,CONFIG!$B$8,CONFIG!$B$9))))),"NO APTO",IF(V260&lt;CONFIG!$B$10,"NO APTO",IF(AND(W260&gt;=CONFIG!$B$11,R260&gt;=CONFIG!$B$13),"ALERTA FUERTE",IF(AND(W260&gt;=CONFIG!$B$12,R260&gt;=CONFIG!$B$13),"ALERTA MEDIA","NO APTO"))))))</f>
        <v/>
      </c>
      <c r="Z260" s="2">
        <f>IF(Y260="","",IF(Y260="NO APTO","Revisar cuota/probabilidad/EV/puntuación/muestra",IF(Y260="ALERTA FUERTE","Cumple filtros de cuota + probabilidad + EV + confianza + muestra","Cumple filtros, pero confianza inferior a FUERTE")))</f>
        <v/>
      </c>
    </row>
    <row r="261">
      <c r="A261" s="2">
        <f>IF(E261="","",ROW()-1)</f>
        <v/>
      </c>
      <c r="B261" s="2" t="inlineStr">
        <is>
          <t>2026-08-19</t>
        </is>
      </c>
      <c r="C261" s="2" t="inlineStr">
        <is>
          <t>13:00</t>
        </is>
      </c>
      <c r="D261" s="2" t="inlineStr">
        <is>
          <t>Friendlies Clubs</t>
        </is>
      </c>
      <c r="E261" s="2" t="inlineStr">
        <is>
          <t>Coruxo vs Pontevedra</t>
        </is>
      </c>
      <c r="F261" s="2" t="inlineStr">
        <is>
          <t>PENDIENTE</t>
        </is>
      </c>
      <c r="G261" s="2" t="inlineStr">
        <is>
          <t>SELECCIONAR MERCADO</t>
        </is>
      </c>
      <c r="H261" s="6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2" t="n"/>
      <c r="S261" s="7" t="n"/>
      <c r="T261" s="7">
        <f>IFERROR(1/H261,"")</f>
        <v/>
      </c>
      <c r="U261" s="7">
        <f>IF(OR(S261="",T261=""),"",S261-T261)</f>
        <v/>
      </c>
      <c r="V261" s="7">
        <f>IF(OR(S261="",H261=""),"",S261*H261-1)</f>
        <v/>
      </c>
      <c r="W261" s="2">
        <f>IF(E261="","",ROUND(100*(0.22*I261+0.18*J261+0.18*K261+0.10*L261+0.08*M261+0.06*N261+0.06*O261+0.04*P261+0.04*Q261+0.04*MIN(R261/10,1)),0))</f>
        <v/>
      </c>
      <c r="X261" s="2">
        <f>IF(W261="","",IF(W261&gt;=CONFIG!$B$11,"FUERTE",IF(W261&gt;=CONFIG!$B$12,"MEDIA","BAJA")))</f>
        <v/>
      </c>
      <c r="Y261" s="2">
        <f>IF(OR(H261="",S261=""),"",IF(OR(H261&lt;CONFIG!$B$2,H261&gt;CONFIG!$B$3),"NO APTO",IF(S261&lt;IF(H261&lt;1.6,CONFIG!$B$4,IF(H261&lt;1.7,CONFIG!$B$5,IF(H261&lt;1.8,CONFIG!$B$6,IF(H261&lt;2,CONFIG!$B$7,IF(H261&lt;2.2,CONFIG!$B$8,CONFIG!$B$9))))),"NO APTO",IF(V261&lt;CONFIG!$B$10,"NO APTO",IF(AND(W261&gt;=CONFIG!$B$11,R261&gt;=CONFIG!$B$13),"ALERTA FUERTE",IF(AND(W261&gt;=CONFIG!$B$12,R261&gt;=CONFIG!$B$13),"ALERTA MEDIA","NO APTO"))))))</f>
        <v/>
      </c>
      <c r="Z261" s="2">
        <f>IF(Y261="","",IF(Y261="NO APTO","Revisar cuota/probabilidad/EV/puntuación/muestra",IF(Y261="ALERTA FUERTE","Cumple filtros de cuota + probabilidad + EV + confianza + muestra","Cumple filtros, pero confianza inferior a FUERTE")))</f>
        <v/>
      </c>
    </row>
    <row r="262">
      <c r="A262" s="2">
        <f>IF(E262="","",ROW()-1)</f>
        <v/>
      </c>
      <c r="B262" s="2" t="inlineStr">
        <is>
          <t>2026-08-19</t>
        </is>
      </c>
      <c r="C262" s="2" t="inlineStr">
        <is>
          <t>13:00</t>
        </is>
      </c>
      <c r="D262" s="2" t="inlineStr">
        <is>
          <t>Friendlies Clubs</t>
        </is>
      </c>
      <c r="E262" s="2" t="inlineStr">
        <is>
          <t>Ponferradina vs Real Madrid II</t>
        </is>
      </c>
      <c r="F262" s="2" t="inlineStr">
        <is>
          <t>PENDIENTE</t>
        </is>
      </c>
      <c r="G262" s="2" t="inlineStr">
        <is>
          <t>SELECCIONAR MERCADO</t>
        </is>
      </c>
      <c r="H262" s="6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2" t="n"/>
      <c r="S262" s="7" t="n"/>
      <c r="T262" s="7">
        <f>IFERROR(1/H262,"")</f>
        <v/>
      </c>
      <c r="U262" s="7">
        <f>IF(OR(S262="",T262=""),"",S262-T262)</f>
        <v/>
      </c>
      <c r="V262" s="7">
        <f>IF(OR(S262="",H262=""),"",S262*H262-1)</f>
        <v/>
      </c>
      <c r="W262" s="2">
        <f>IF(E262="","",ROUND(100*(0.22*I262+0.18*J262+0.18*K262+0.10*L262+0.08*M262+0.06*N262+0.06*O262+0.04*P262+0.04*Q262+0.04*MIN(R262/10,1)),0))</f>
        <v/>
      </c>
      <c r="X262" s="2">
        <f>IF(W262="","",IF(W262&gt;=CONFIG!$B$11,"FUERTE",IF(W262&gt;=CONFIG!$B$12,"MEDIA","BAJA")))</f>
        <v/>
      </c>
      <c r="Y262" s="2">
        <f>IF(OR(H262="",S262=""),"",IF(OR(H262&lt;CONFIG!$B$2,H262&gt;CONFIG!$B$3),"NO APTO",IF(S262&lt;IF(H262&lt;1.6,CONFIG!$B$4,IF(H262&lt;1.7,CONFIG!$B$5,IF(H262&lt;1.8,CONFIG!$B$6,IF(H262&lt;2,CONFIG!$B$7,IF(H262&lt;2.2,CONFIG!$B$8,CONFIG!$B$9))))),"NO APTO",IF(V262&lt;CONFIG!$B$10,"NO APTO",IF(AND(W262&gt;=CONFIG!$B$11,R262&gt;=CONFIG!$B$13),"ALERTA FUERTE",IF(AND(W262&gt;=CONFIG!$B$12,R262&gt;=CONFIG!$B$13),"ALERTA MEDIA","NO APTO"))))))</f>
        <v/>
      </c>
      <c r="Z262" s="2">
        <f>IF(Y262="","",IF(Y262="NO APTO","Revisar cuota/probabilidad/EV/puntuación/muestra",IF(Y262="ALERTA FUERTE","Cumple filtros de cuota + probabilidad + EV + confianza + muestra","Cumple filtros, pero confianza inferior a FUERTE")))</f>
        <v/>
      </c>
    </row>
    <row r="263">
      <c r="A263" s="2">
        <f>IF(E263="","",ROW()-1)</f>
        <v/>
      </c>
      <c r="B263" s="2" t="inlineStr">
        <is>
          <t>2026-08-19</t>
        </is>
      </c>
      <c r="C263" s="2" t="inlineStr">
        <is>
          <t>13:00</t>
        </is>
      </c>
      <c r="D263" s="2" t="inlineStr">
        <is>
          <t>Friendlies Clubs</t>
        </is>
      </c>
      <c r="E263" s="2" t="inlineStr">
        <is>
          <t>Barcelona vs Al Ahly</t>
        </is>
      </c>
      <c r="F263" s="2" t="inlineStr">
        <is>
          <t>PENDIENTE</t>
        </is>
      </c>
      <c r="G263" s="2" t="inlineStr">
        <is>
          <t>SELECCIONAR MERCADO</t>
        </is>
      </c>
      <c r="H263" s="6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2" t="n"/>
      <c r="S263" s="7" t="n"/>
      <c r="T263" s="7">
        <f>IFERROR(1/H263,"")</f>
        <v/>
      </c>
      <c r="U263" s="7">
        <f>IF(OR(S263="",T263=""),"",S263-T263)</f>
        <v/>
      </c>
      <c r="V263" s="7">
        <f>IF(OR(S263="",H263=""),"",S263*H263-1)</f>
        <v/>
      </c>
      <c r="W263" s="2">
        <f>IF(E263="","",ROUND(100*(0.22*I263+0.18*J263+0.18*K263+0.10*L263+0.08*M263+0.06*N263+0.06*O263+0.04*P263+0.04*Q263+0.04*MIN(R263/10,1)),0))</f>
        <v/>
      </c>
      <c r="X263" s="2">
        <f>IF(W263="","",IF(W263&gt;=CONFIG!$B$11,"FUERTE",IF(W263&gt;=CONFIG!$B$12,"MEDIA","BAJA")))</f>
        <v/>
      </c>
      <c r="Y263" s="2">
        <f>IF(OR(H263="",S263=""),"",IF(OR(H263&lt;CONFIG!$B$2,H263&gt;CONFIG!$B$3),"NO APTO",IF(S263&lt;IF(H263&lt;1.6,CONFIG!$B$4,IF(H263&lt;1.7,CONFIG!$B$5,IF(H263&lt;1.8,CONFIG!$B$6,IF(H263&lt;2,CONFIG!$B$7,IF(H263&lt;2.2,CONFIG!$B$8,CONFIG!$B$9))))),"NO APTO",IF(V263&lt;CONFIG!$B$10,"NO APTO",IF(AND(W263&gt;=CONFIG!$B$11,R263&gt;=CONFIG!$B$13),"ALERTA FUERTE",IF(AND(W263&gt;=CONFIG!$B$12,R263&gt;=CONFIG!$B$13),"ALERTA MEDIA","NO APTO"))))))</f>
        <v/>
      </c>
      <c r="Z263" s="2">
        <f>IF(Y263="","",IF(Y263="NO APTO","Revisar cuota/probabilidad/EV/puntuación/muestra",IF(Y263="ALERTA FUERTE","Cumple filtros de cuota + probabilidad + EV + confianza + muestra","Cumple filtros, pero confianza inferior a FUERTE")))</f>
        <v/>
      </c>
    </row>
    <row r="264">
      <c r="A264" s="2">
        <f>IF(E264="","",ROW()-1)</f>
        <v/>
      </c>
      <c r="B264" s="2" t="inlineStr">
        <is>
          <t>2026-08-19</t>
        </is>
      </c>
      <c r="C264" s="2" t="inlineStr">
        <is>
          <t>13:00</t>
        </is>
      </c>
      <c r="D264" s="2" t="inlineStr">
        <is>
          <t>1. Liga Classic - Group 3</t>
        </is>
      </c>
      <c r="E264" s="2" t="inlineStr">
        <is>
          <t>Tuggen vs Dietikon</t>
        </is>
      </c>
      <c r="F264" s="2" t="inlineStr">
        <is>
          <t>PENDIENTE</t>
        </is>
      </c>
      <c r="G264" s="2" t="inlineStr">
        <is>
          <t>SELECCIONAR MERCADO</t>
        </is>
      </c>
      <c r="H264" s="6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2" t="n"/>
      <c r="S264" s="7" t="n"/>
      <c r="T264" s="7">
        <f>IFERROR(1/H264,"")</f>
        <v/>
      </c>
      <c r="U264" s="7">
        <f>IF(OR(S264="",T264=""),"",S264-T264)</f>
        <v/>
      </c>
      <c r="V264" s="7">
        <f>IF(OR(S264="",H264=""),"",S264*H264-1)</f>
        <v/>
      </c>
      <c r="W264" s="2">
        <f>IF(E264="","",ROUND(100*(0.22*I264+0.18*J264+0.18*K264+0.10*L264+0.08*M264+0.06*N264+0.06*O264+0.04*P264+0.04*Q264+0.04*MIN(R264/10,1)),0))</f>
        <v/>
      </c>
      <c r="X264" s="2">
        <f>IF(W264="","",IF(W264&gt;=CONFIG!$B$11,"FUERTE",IF(W264&gt;=CONFIG!$B$12,"MEDIA","BAJA")))</f>
        <v/>
      </c>
      <c r="Y264" s="2">
        <f>IF(OR(H264="",S264=""),"",IF(OR(H264&lt;CONFIG!$B$2,H264&gt;CONFIG!$B$3),"NO APTO",IF(S264&lt;IF(H264&lt;1.6,CONFIG!$B$4,IF(H264&lt;1.7,CONFIG!$B$5,IF(H264&lt;1.8,CONFIG!$B$6,IF(H264&lt;2,CONFIG!$B$7,IF(H264&lt;2.2,CONFIG!$B$8,CONFIG!$B$9))))),"NO APTO",IF(V264&lt;CONFIG!$B$10,"NO APTO",IF(AND(W264&gt;=CONFIG!$B$11,R264&gt;=CONFIG!$B$13),"ALERTA FUERTE",IF(AND(W264&gt;=CONFIG!$B$12,R264&gt;=CONFIG!$B$13),"ALERTA MEDIA","NO APTO"))))))</f>
        <v/>
      </c>
      <c r="Z264" s="2">
        <f>IF(Y264="","",IF(Y264="NO APTO","Revisar cuota/probabilidad/EV/puntuación/muestra",IF(Y264="ALERTA FUERTE","Cumple filtros de cuota + probabilidad + EV + confianza + muestra","Cumple filtros, pero confianza inferior a FUERTE")))</f>
        <v/>
      </c>
    </row>
    <row r="265">
      <c r="A265" s="2">
        <f>IF(E265="","",ROW()-1)</f>
        <v/>
      </c>
      <c r="B265" s="2" t="inlineStr">
        <is>
          <t>2026-08-19</t>
        </is>
      </c>
      <c r="C265" s="2" t="inlineStr">
        <is>
          <t>13:00</t>
        </is>
      </c>
      <c r="D265" s="2" t="inlineStr">
        <is>
          <t>Cearense U20</t>
        </is>
      </c>
      <c r="E265" s="2" t="inlineStr">
        <is>
          <t>Fortaleza U20 vs Quixadá U20</t>
        </is>
      </c>
      <c r="F265" s="2" t="inlineStr">
        <is>
          <t>PENDIENTE</t>
        </is>
      </c>
      <c r="G265" s="2" t="inlineStr">
        <is>
          <t>SELECCIONAR MERCADO</t>
        </is>
      </c>
      <c r="H265" s="6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2" t="n"/>
      <c r="S265" s="7" t="n"/>
      <c r="T265" s="7">
        <f>IFERROR(1/H265,"")</f>
        <v/>
      </c>
      <c r="U265" s="7">
        <f>IF(OR(S265="",T265=""),"",S265-T265)</f>
        <v/>
      </c>
      <c r="V265" s="7">
        <f>IF(OR(S265="",H265=""),"",S265*H265-1)</f>
        <v/>
      </c>
      <c r="W265" s="2">
        <f>IF(E265="","",ROUND(100*(0.22*I265+0.18*J265+0.18*K265+0.10*L265+0.08*M265+0.06*N265+0.06*O265+0.04*P265+0.04*Q265+0.04*MIN(R265/10,1)),0))</f>
        <v/>
      </c>
      <c r="X265" s="2">
        <f>IF(W265="","",IF(W265&gt;=CONFIG!$B$11,"FUERTE",IF(W265&gt;=CONFIG!$B$12,"MEDIA","BAJA")))</f>
        <v/>
      </c>
      <c r="Y265" s="2">
        <f>IF(OR(H265="",S265=""),"",IF(OR(H265&lt;CONFIG!$B$2,H265&gt;CONFIG!$B$3),"NO APTO",IF(S265&lt;IF(H265&lt;1.6,CONFIG!$B$4,IF(H265&lt;1.7,CONFIG!$B$5,IF(H265&lt;1.8,CONFIG!$B$6,IF(H265&lt;2,CONFIG!$B$7,IF(H265&lt;2.2,CONFIG!$B$8,CONFIG!$B$9))))),"NO APTO",IF(V265&lt;CONFIG!$B$10,"NO APTO",IF(AND(W265&gt;=CONFIG!$B$11,R265&gt;=CONFIG!$B$13),"ALERTA FUERTE",IF(AND(W265&gt;=CONFIG!$B$12,R265&gt;=CONFIG!$B$13),"ALERTA MEDIA","NO APTO"))))))</f>
        <v/>
      </c>
      <c r="Z265" s="2">
        <f>IF(Y265="","",IF(Y265="NO APTO","Revisar cuota/probabilidad/EV/puntuación/muestra",IF(Y265="ALERTA FUERTE","Cumple filtros de cuota + probabilidad + EV + confianza + muestra","Cumple filtros, pero confianza inferior a FUERTE")))</f>
        <v/>
      </c>
    </row>
    <row r="266">
      <c r="A266" s="2">
        <f>IF(E266="","",ROW()-1)</f>
        <v/>
      </c>
      <c r="B266" s="2" t="inlineStr">
        <is>
          <t>2026-08-19</t>
        </is>
      </c>
      <c r="C266" s="2" t="inlineStr">
        <is>
          <t>13:00</t>
        </is>
      </c>
      <c r="D266" s="2" t="inlineStr">
        <is>
          <t>Reserve League</t>
        </is>
      </c>
      <c r="E266" s="2" t="inlineStr">
        <is>
          <t>Banfield Res. vs Instituto Res.</t>
        </is>
      </c>
      <c r="F266" s="2" t="inlineStr">
        <is>
          <t>PENDIENTE</t>
        </is>
      </c>
      <c r="G266" s="2" t="inlineStr">
        <is>
          <t>SELECCIONAR MERCADO</t>
        </is>
      </c>
      <c r="H266" s="6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2" t="n"/>
      <c r="S266" s="7" t="n"/>
      <c r="T266" s="7">
        <f>IFERROR(1/H266,"")</f>
        <v/>
      </c>
      <c r="U266" s="7">
        <f>IF(OR(S266="",T266=""),"",S266-T266)</f>
        <v/>
      </c>
      <c r="V266" s="7">
        <f>IF(OR(S266="",H266=""),"",S266*H266-1)</f>
        <v/>
      </c>
      <c r="W266" s="2">
        <f>IF(E266="","",ROUND(100*(0.22*I266+0.18*J266+0.18*K266+0.10*L266+0.08*M266+0.06*N266+0.06*O266+0.04*P266+0.04*Q266+0.04*MIN(R266/10,1)),0))</f>
        <v/>
      </c>
      <c r="X266" s="2">
        <f>IF(W266="","",IF(W266&gt;=CONFIG!$B$11,"FUERTE",IF(W266&gt;=CONFIG!$B$12,"MEDIA","BAJA")))</f>
        <v/>
      </c>
      <c r="Y266" s="2">
        <f>IF(OR(H266="",S266=""),"",IF(OR(H266&lt;CONFIG!$B$2,H266&gt;CONFIG!$B$3),"NO APTO",IF(S266&lt;IF(H266&lt;1.6,CONFIG!$B$4,IF(H266&lt;1.7,CONFIG!$B$5,IF(H266&lt;1.8,CONFIG!$B$6,IF(H266&lt;2,CONFIG!$B$7,IF(H266&lt;2.2,CONFIG!$B$8,CONFIG!$B$9))))),"NO APTO",IF(V266&lt;CONFIG!$B$10,"NO APTO",IF(AND(W266&gt;=CONFIG!$B$11,R266&gt;=CONFIG!$B$13),"ALERTA FUERTE",IF(AND(W266&gt;=CONFIG!$B$12,R266&gt;=CONFIG!$B$13),"ALERTA MEDIA","NO APTO"))))))</f>
        <v/>
      </c>
      <c r="Z266" s="2">
        <f>IF(Y266="","",IF(Y266="NO APTO","Revisar cuota/probabilidad/EV/puntuación/muestra",IF(Y266="ALERTA FUERTE","Cumple filtros de cuota + probabilidad + EV + confianza + muestra","Cumple filtros, pero confianza inferior a FUERTE")))</f>
        <v/>
      </c>
    </row>
    <row r="267">
      <c r="A267" s="2">
        <f>IF(E267="","",ROW()-1)</f>
        <v/>
      </c>
      <c r="B267" s="2" t="inlineStr">
        <is>
          <t>2026-08-19</t>
        </is>
      </c>
      <c r="C267" s="2" t="inlineStr">
        <is>
          <t>13:00</t>
        </is>
      </c>
      <c r="D267" s="2" t="inlineStr">
        <is>
          <t>Reserve League</t>
        </is>
      </c>
      <c r="E267" s="2" t="inlineStr">
        <is>
          <t>Aldosivi Res. vs Argentinos Juniors Res.</t>
        </is>
      </c>
      <c r="F267" s="2" t="inlineStr">
        <is>
          <t>PENDIENTE</t>
        </is>
      </c>
      <c r="G267" s="2" t="inlineStr">
        <is>
          <t>SELECCIONAR MERCADO</t>
        </is>
      </c>
      <c r="H267" s="6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2" t="n"/>
      <c r="S267" s="7" t="n"/>
      <c r="T267" s="7">
        <f>IFERROR(1/H267,"")</f>
        <v/>
      </c>
      <c r="U267" s="7">
        <f>IF(OR(S267="",T267=""),"",S267-T267)</f>
        <v/>
      </c>
      <c r="V267" s="7">
        <f>IF(OR(S267="",H267=""),"",S267*H267-1)</f>
        <v/>
      </c>
      <c r="W267" s="2">
        <f>IF(E267="","",ROUND(100*(0.22*I267+0.18*J267+0.18*K267+0.10*L267+0.08*M267+0.06*N267+0.06*O267+0.04*P267+0.04*Q267+0.04*MIN(R267/10,1)),0))</f>
        <v/>
      </c>
      <c r="X267" s="2">
        <f>IF(W267="","",IF(W267&gt;=CONFIG!$B$11,"FUERTE",IF(W267&gt;=CONFIG!$B$12,"MEDIA","BAJA")))</f>
        <v/>
      </c>
      <c r="Y267" s="2">
        <f>IF(OR(H267="",S267=""),"",IF(OR(H267&lt;CONFIG!$B$2,H267&gt;CONFIG!$B$3),"NO APTO",IF(S267&lt;IF(H267&lt;1.6,CONFIG!$B$4,IF(H267&lt;1.7,CONFIG!$B$5,IF(H267&lt;1.8,CONFIG!$B$6,IF(H267&lt;2,CONFIG!$B$7,IF(H267&lt;2.2,CONFIG!$B$8,CONFIG!$B$9))))),"NO APTO",IF(V267&lt;CONFIG!$B$10,"NO APTO",IF(AND(W267&gt;=CONFIG!$B$11,R267&gt;=CONFIG!$B$13),"ALERTA FUERTE",IF(AND(W267&gt;=CONFIG!$B$12,R267&gt;=CONFIG!$B$13),"ALERTA MEDIA","NO APTO"))))))</f>
        <v/>
      </c>
      <c r="Z267" s="2">
        <f>IF(Y267="","",IF(Y267="NO APTO","Revisar cuota/probabilidad/EV/puntuación/muestra",IF(Y267="ALERTA FUERTE","Cumple filtros de cuota + probabilidad + EV + confianza + muestra","Cumple filtros, pero confianza inferior a FUERTE")))</f>
        <v/>
      </c>
    </row>
    <row r="268">
      <c r="A268" s="2">
        <f>IF(E268="","",ROW()-1)</f>
        <v/>
      </c>
      <c r="B268" s="2" t="inlineStr">
        <is>
          <t>2026-08-19</t>
        </is>
      </c>
      <c r="C268" s="2" t="inlineStr">
        <is>
          <t>13:00</t>
        </is>
      </c>
      <c r="D268" s="2" t="inlineStr">
        <is>
          <t>Reserve League</t>
        </is>
      </c>
      <c r="E268" s="2" t="inlineStr">
        <is>
          <t>Atl. Rafaela 2 vs Quilmes 2</t>
        </is>
      </c>
      <c r="F268" s="2" t="inlineStr">
        <is>
          <t>PENDIENTE</t>
        </is>
      </c>
      <c r="G268" s="2" t="inlineStr">
        <is>
          <t>SELECCIONAR MERCADO</t>
        </is>
      </c>
      <c r="H268" s="6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2" t="n"/>
      <c r="S268" s="7" t="n"/>
      <c r="T268" s="7">
        <f>IFERROR(1/H268,"")</f>
        <v/>
      </c>
      <c r="U268" s="7">
        <f>IF(OR(S268="",T268=""),"",S268-T268)</f>
        <v/>
      </c>
      <c r="V268" s="7">
        <f>IF(OR(S268="",H268=""),"",S268*H268-1)</f>
        <v/>
      </c>
      <c r="W268" s="2">
        <f>IF(E268="","",ROUND(100*(0.22*I268+0.18*J268+0.18*K268+0.10*L268+0.08*M268+0.06*N268+0.06*O268+0.04*P268+0.04*Q268+0.04*MIN(R268/10,1)),0))</f>
        <v/>
      </c>
      <c r="X268" s="2">
        <f>IF(W268="","",IF(W268&gt;=CONFIG!$B$11,"FUERTE",IF(W268&gt;=CONFIG!$B$12,"MEDIA","BAJA")))</f>
        <v/>
      </c>
      <c r="Y268" s="2">
        <f>IF(OR(H268="",S268=""),"",IF(OR(H268&lt;CONFIG!$B$2,H268&gt;CONFIG!$B$3),"NO APTO",IF(S268&lt;IF(H268&lt;1.6,CONFIG!$B$4,IF(H268&lt;1.7,CONFIG!$B$5,IF(H268&lt;1.8,CONFIG!$B$6,IF(H268&lt;2,CONFIG!$B$7,IF(H268&lt;2.2,CONFIG!$B$8,CONFIG!$B$9))))),"NO APTO",IF(V268&lt;CONFIG!$B$10,"NO APTO",IF(AND(W268&gt;=CONFIG!$B$11,R268&gt;=CONFIG!$B$13),"ALERTA FUERTE",IF(AND(W268&gt;=CONFIG!$B$12,R268&gt;=CONFIG!$B$13),"ALERTA MEDIA","NO APTO"))))))</f>
        <v/>
      </c>
      <c r="Z268" s="2">
        <f>IF(Y268="","",IF(Y268="NO APTO","Revisar cuota/probabilidad/EV/puntuación/muestra",IF(Y268="ALERTA FUERTE","Cumple filtros de cuota + probabilidad + EV + confianza + muestra","Cumple filtros, pero confianza inferior a FUERTE")))</f>
        <v/>
      </c>
    </row>
    <row r="269">
      <c r="A269" s="2">
        <f>IF(E269="","",ROW()-1)</f>
        <v/>
      </c>
      <c r="B269" s="2" t="inlineStr">
        <is>
          <t>2026-08-19</t>
        </is>
      </c>
      <c r="C269" s="2" t="inlineStr">
        <is>
          <t>13:00</t>
        </is>
      </c>
      <c r="D269" s="2" t="inlineStr">
        <is>
          <t>Reserve League</t>
        </is>
      </c>
      <c r="E269" s="2" t="inlineStr">
        <is>
          <t>Ferro 2 vs San Martín San Juan Res.</t>
        </is>
      </c>
      <c r="F269" s="2" t="inlineStr">
        <is>
          <t>PENDIENTE</t>
        </is>
      </c>
      <c r="G269" s="2" t="inlineStr">
        <is>
          <t>SELECCIONAR MERCADO</t>
        </is>
      </c>
      <c r="H269" s="6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2" t="n"/>
      <c r="S269" s="7" t="n"/>
      <c r="T269" s="7">
        <f>IFERROR(1/H269,"")</f>
        <v/>
      </c>
      <c r="U269" s="7">
        <f>IF(OR(S269="",T269=""),"",S269-T269)</f>
        <v/>
      </c>
      <c r="V269" s="7">
        <f>IF(OR(S269="",H269=""),"",S269*H269-1)</f>
        <v/>
      </c>
      <c r="W269" s="2">
        <f>IF(E269="","",ROUND(100*(0.22*I269+0.18*J269+0.18*K269+0.10*L269+0.08*M269+0.06*N269+0.06*O269+0.04*P269+0.04*Q269+0.04*MIN(R269/10,1)),0))</f>
        <v/>
      </c>
      <c r="X269" s="2">
        <f>IF(W269="","",IF(W269&gt;=CONFIG!$B$11,"FUERTE",IF(W269&gt;=CONFIG!$B$12,"MEDIA","BAJA")))</f>
        <v/>
      </c>
      <c r="Y269" s="2">
        <f>IF(OR(H269="",S269=""),"",IF(OR(H269&lt;CONFIG!$B$2,H269&gt;CONFIG!$B$3),"NO APTO",IF(S269&lt;IF(H269&lt;1.6,CONFIG!$B$4,IF(H269&lt;1.7,CONFIG!$B$5,IF(H269&lt;1.8,CONFIG!$B$6,IF(H269&lt;2,CONFIG!$B$7,IF(H269&lt;2.2,CONFIG!$B$8,CONFIG!$B$9))))),"NO APTO",IF(V269&lt;CONFIG!$B$10,"NO APTO",IF(AND(W269&gt;=CONFIG!$B$11,R269&gt;=CONFIG!$B$13),"ALERTA FUERTE",IF(AND(W269&gt;=CONFIG!$B$12,R269&gt;=CONFIG!$B$13),"ALERTA MEDIA","NO APTO"))))))</f>
        <v/>
      </c>
      <c r="Z269" s="2">
        <f>IF(Y269="","",IF(Y269="NO APTO","Revisar cuota/probabilidad/EV/puntuación/muestra",IF(Y269="ALERTA FUERTE","Cumple filtros de cuota + probabilidad + EV + confianza + muestra","Cumple filtros, pero confianza inferior a FUERTE")))</f>
        <v/>
      </c>
    </row>
    <row r="270">
      <c r="A270" s="2">
        <f>IF(E270="","",ROW()-1)</f>
        <v/>
      </c>
      <c r="B270" s="2" t="inlineStr">
        <is>
          <t>2026-08-19</t>
        </is>
      </c>
      <c r="C270" s="2" t="inlineStr">
        <is>
          <t>13:00</t>
        </is>
      </c>
      <c r="D270" s="2" t="inlineStr">
        <is>
          <t>Reserve League</t>
        </is>
      </c>
      <c r="E270" s="2" t="inlineStr">
        <is>
          <t>Huracán Res. vs Independiente Riva. Res.</t>
        </is>
      </c>
      <c r="F270" s="2" t="inlineStr">
        <is>
          <t>PENDIENTE</t>
        </is>
      </c>
      <c r="G270" s="2" t="inlineStr">
        <is>
          <t>SELECCIONAR MERCADO</t>
        </is>
      </c>
      <c r="H270" s="6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2" t="n"/>
      <c r="S270" s="7" t="n"/>
      <c r="T270" s="7">
        <f>IFERROR(1/H270,"")</f>
        <v/>
      </c>
      <c r="U270" s="7">
        <f>IF(OR(S270="",T270=""),"",S270-T270)</f>
        <v/>
      </c>
      <c r="V270" s="7">
        <f>IF(OR(S270="",H270=""),"",S270*H270-1)</f>
        <v/>
      </c>
      <c r="W270" s="2">
        <f>IF(E270="","",ROUND(100*(0.22*I270+0.18*J270+0.18*K270+0.10*L270+0.08*M270+0.06*N270+0.06*O270+0.04*P270+0.04*Q270+0.04*MIN(R270/10,1)),0))</f>
        <v/>
      </c>
      <c r="X270" s="2">
        <f>IF(W270="","",IF(W270&gt;=CONFIG!$B$11,"FUERTE",IF(W270&gt;=CONFIG!$B$12,"MEDIA","BAJA")))</f>
        <v/>
      </c>
      <c r="Y270" s="2">
        <f>IF(OR(H270="",S270=""),"",IF(OR(H270&lt;CONFIG!$B$2,H270&gt;CONFIG!$B$3),"NO APTO",IF(S270&lt;IF(H270&lt;1.6,CONFIG!$B$4,IF(H270&lt;1.7,CONFIG!$B$5,IF(H270&lt;1.8,CONFIG!$B$6,IF(H270&lt;2,CONFIG!$B$7,IF(H270&lt;2.2,CONFIG!$B$8,CONFIG!$B$9))))),"NO APTO",IF(V270&lt;CONFIG!$B$10,"NO APTO",IF(AND(W270&gt;=CONFIG!$B$11,R270&gt;=CONFIG!$B$13),"ALERTA FUERTE",IF(AND(W270&gt;=CONFIG!$B$12,R270&gt;=CONFIG!$B$13),"ALERTA MEDIA","NO APTO"))))))</f>
        <v/>
      </c>
      <c r="Z270" s="2">
        <f>IF(Y270="","",IF(Y270="NO APTO","Revisar cuota/probabilidad/EV/puntuación/muestra",IF(Y270="ALERTA FUERTE","Cumple filtros de cuota + probabilidad + EV + confianza + muestra","Cumple filtros, pero confianza inferior a FUERTE")))</f>
        <v/>
      </c>
    </row>
    <row r="271">
      <c r="A271" s="2">
        <f>IF(E271="","",ROW()-1)</f>
        <v/>
      </c>
      <c r="B271" s="2" t="inlineStr">
        <is>
          <t>2026-08-19</t>
        </is>
      </c>
      <c r="C271" s="2" t="inlineStr">
        <is>
          <t>13:00</t>
        </is>
      </c>
      <c r="D271" s="2" t="inlineStr">
        <is>
          <t>Reserve League</t>
        </is>
      </c>
      <c r="E271" s="2" t="inlineStr">
        <is>
          <t>Independiente Res. vs Estudiantes La Plata Res</t>
        </is>
      </c>
      <c r="F271" s="2" t="inlineStr">
        <is>
          <t>PENDIENTE</t>
        </is>
      </c>
      <c r="G271" s="2" t="inlineStr">
        <is>
          <t>SELECCIONAR MERCADO</t>
        </is>
      </c>
      <c r="H271" s="6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2" t="n"/>
      <c r="S271" s="7" t="n"/>
      <c r="T271" s="7">
        <f>IFERROR(1/H271,"")</f>
        <v/>
      </c>
      <c r="U271" s="7">
        <f>IF(OR(S271="",T271=""),"",S271-T271)</f>
        <v/>
      </c>
      <c r="V271" s="7">
        <f>IF(OR(S271="",H271=""),"",S271*H271-1)</f>
        <v/>
      </c>
      <c r="W271" s="2">
        <f>IF(E271="","",ROUND(100*(0.22*I271+0.18*J271+0.18*K271+0.10*L271+0.08*M271+0.06*N271+0.06*O271+0.04*P271+0.04*Q271+0.04*MIN(R271/10,1)),0))</f>
        <v/>
      </c>
      <c r="X271" s="2">
        <f>IF(W271="","",IF(W271&gt;=CONFIG!$B$11,"FUERTE",IF(W271&gt;=CONFIG!$B$12,"MEDIA","BAJA")))</f>
        <v/>
      </c>
      <c r="Y271" s="2">
        <f>IF(OR(H271="",S271=""),"",IF(OR(H271&lt;CONFIG!$B$2,H271&gt;CONFIG!$B$3),"NO APTO",IF(S271&lt;IF(H271&lt;1.6,CONFIG!$B$4,IF(H271&lt;1.7,CONFIG!$B$5,IF(H271&lt;1.8,CONFIG!$B$6,IF(H271&lt;2,CONFIG!$B$7,IF(H271&lt;2.2,CONFIG!$B$8,CONFIG!$B$9))))),"NO APTO",IF(V271&lt;CONFIG!$B$10,"NO APTO",IF(AND(W271&gt;=CONFIG!$B$11,R271&gt;=CONFIG!$B$13),"ALERTA FUERTE",IF(AND(W271&gt;=CONFIG!$B$12,R271&gt;=CONFIG!$B$13),"ALERTA MEDIA","NO APTO"))))))</f>
        <v/>
      </c>
      <c r="Z271" s="2">
        <f>IF(Y271="","",IF(Y271="NO APTO","Revisar cuota/probabilidad/EV/puntuación/muestra",IF(Y271="ALERTA FUERTE","Cumple filtros de cuota + probabilidad + EV + confianza + muestra","Cumple filtros, pero confianza inferior a FUERTE")))</f>
        <v/>
      </c>
    </row>
    <row r="272">
      <c r="A272" s="2">
        <f>IF(E272="","",ROW()-1)</f>
        <v/>
      </c>
      <c r="B272" s="2" t="inlineStr">
        <is>
          <t>2026-08-19</t>
        </is>
      </c>
      <c r="C272" s="2" t="inlineStr">
        <is>
          <t>13:00</t>
        </is>
      </c>
      <c r="D272" s="2" t="inlineStr">
        <is>
          <t>Reserve League</t>
        </is>
      </c>
      <c r="E272" s="2" t="inlineStr">
        <is>
          <t>Talleres Córdoba Res. vs Rosario Central Res.</t>
        </is>
      </c>
      <c r="F272" s="2" t="inlineStr">
        <is>
          <t>PENDIENTE</t>
        </is>
      </c>
      <c r="G272" s="2" t="inlineStr">
        <is>
          <t>SELECCIONAR MERCADO</t>
        </is>
      </c>
      <c r="H272" s="6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2" t="n"/>
      <c r="S272" s="7" t="n"/>
      <c r="T272" s="7">
        <f>IFERROR(1/H272,"")</f>
        <v/>
      </c>
      <c r="U272" s="7">
        <f>IF(OR(S272="",T272=""),"",S272-T272)</f>
        <v/>
      </c>
      <c r="V272" s="7">
        <f>IF(OR(S272="",H272=""),"",S272*H272-1)</f>
        <v/>
      </c>
      <c r="W272" s="2">
        <f>IF(E272="","",ROUND(100*(0.22*I272+0.18*J272+0.18*K272+0.10*L272+0.08*M272+0.06*N272+0.06*O272+0.04*P272+0.04*Q272+0.04*MIN(R272/10,1)),0))</f>
        <v/>
      </c>
      <c r="X272" s="2">
        <f>IF(W272="","",IF(W272&gt;=CONFIG!$B$11,"FUERTE",IF(W272&gt;=CONFIG!$B$12,"MEDIA","BAJA")))</f>
        <v/>
      </c>
      <c r="Y272" s="2">
        <f>IF(OR(H272="",S272=""),"",IF(OR(H272&lt;CONFIG!$B$2,H272&gt;CONFIG!$B$3),"NO APTO",IF(S272&lt;IF(H272&lt;1.6,CONFIG!$B$4,IF(H272&lt;1.7,CONFIG!$B$5,IF(H272&lt;1.8,CONFIG!$B$6,IF(H272&lt;2,CONFIG!$B$7,IF(H272&lt;2.2,CONFIG!$B$8,CONFIG!$B$9))))),"NO APTO",IF(V272&lt;CONFIG!$B$10,"NO APTO",IF(AND(W272&gt;=CONFIG!$B$11,R272&gt;=CONFIG!$B$13),"ALERTA FUERTE",IF(AND(W272&gt;=CONFIG!$B$12,R272&gt;=CONFIG!$B$13),"ALERTA MEDIA","NO APTO"))))))</f>
        <v/>
      </c>
      <c r="Z272" s="2">
        <f>IF(Y272="","",IF(Y272="NO APTO","Revisar cuota/probabilidad/EV/puntuación/muestra",IF(Y272="ALERTA FUERTE","Cumple filtros de cuota + probabilidad + EV + confianza + muestra","Cumple filtros, pero confianza inferior a FUERTE")))</f>
        <v/>
      </c>
    </row>
    <row r="273">
      <c r="A273" s="2">
        <f>IF(E273="","",ROW()-1)</f>
        <v/>
      </c>
      <c r="B273" s="2" t="inlineStr">
        <is>
          <t>2026-08-19</t>
        </is>
      </c>
      <c r="C273" s="2" t="inlineStr">
        <is>
          <t>13:00</t>
        </is>
      </c>
      <c r="D273" s="2" t="inlineStr">
        <is>
          <t>Pernambucano - U20</t>
        </is>
      </c>
      <c r="E273" s="2" t="inlineStr">
        <is>
          <t>CA Porto U20 vs Santa Cruz U20</t>
        </is>
      </c>
      <c r="F273" s="2" t="inlineStr">
        <is>
          <t>PENDIENTE</t>
        </is>
      </c>
      <c r="G273" s="2" t="inlineStr">
        <is>
          <t>SELECCIONAR MERCADO</t>
        </is>
      </c>
      <c r="H273" s="6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2" t="n"/>
      <c r="S273" s="7" t="n"/>
      <c r="T273" s="7">
        <f>IFERROR(1/H273,"")</f>
        <v/>
      </c>
      <c r="U273" s="7">
        <f>IF(OR(S273="",T273=""),"",S273-T273)</f>
        <v/>
      </c>
      <c r="V273" s="7">
        <f>IF(OR(S273="",H273=""),"",S273*H273-1)</f>
        <v/>
      </c>
      <c r="W273" s="2">
        <f>IF(E273="","",ROUND(100*(0.22*I273+0.18*J273+0.18*K273+0.10*L273+0.08*M273+0.06*N273+0.06*O273+0.04*P273+0.04*Q273+0.04*MIN(R273/10,1)),0))</f>
        <v/>
      </c>
      <c r="X273" s="2">
        <f>IF(W273="","",IF(W273&gt;=CONFIG!$B$11,"FUERTE",IF(W273&gt;=CONFIG!$B$12,"MEDIA","BAJA")))</f>
        <v/>
      </c>
      <c r="Y273" s="2">
        <f>IF(OR(H273="",S273=""),"",IF(OR(H273&lt;CONFIG!$B$2,H273&gt;CONFIG!$B$3),"NO APTO",IF(S273&lt;IF(H273&lt;1.6,CONFIG!$B$4,IF(H273&lt;1.7,CONFIG!$B$5,IF(H273&lt;1.8,CONFIG!$B$6,IF(H273&lt;2,CONFIG!$B$7,IF(H273&lt;2.2,CONFIG!$B$8,CONFIG!$B$9))))),"NO APTO",IF(V273&lt;CONFIG!$B$10,"NO APTO",IF(AND(W273&gt;=CONFIG!$B$11,R273&gt;=CONFIG!$B$13),"ALERTA FUERTE",IF(AND(W273&gt;=CONFIG!$B$12,R273&gt;=CONFIG!$B$13),"ALERTA MEDIA","NO APTO"))))))</f>
        <v/>
      </c>
      <c r="Z273" s="2">
        <f>IF(Y273="","",IF(Y273="NO APTO","Revisar cuota/probabilidad/EV/puntuación/muestra",IF(Y273="ALERTA FUERTE","Cumple filtros de cuota + probabilidad + EV + confianza + muestra","Cumple filtros, pero confianza inferior a FUERTE")))</f>
        <v/>
      </c>
    </row>
    <row r="274">
      <c r="A274" s="2">
        <f>IF(E274="","",ROW()-1)</f>
        <v/>
      </c>
      <c r="B274" s="2" t="inlineStr">
        <is>
          <t>2026-08-19</t>
        </is>
      </c>
      <c r="C274" s="2" t="inlineStr">
        <is>
          <t>13:15</t>
        </is>
      </c>
      <c r="D274" s="2" t="inlineStr">
        <is>
          <t>1. Liga Classic - Group 3</t>
        </is>
      </c>
      <c r="E274" s="2" t="inlineStr">
        <is>
          <t>Winterthur II vs Thalwil</t>
        </is>
      </c>
      <c r="F274" s="2" t="inlineStr">
        <is>
          <t>PENDIENTE</t>
        </is>
      </c>
      <c r="G274" s="2" t="inlineStr">
        <is>
          <t>SELECCIONAR MERCADO</t>
        </is>
      </c>
      <c r="H274" s="6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2" t="n"/>
      <c r="S274" s="7" t="n"/>
      <c r="T274" s="7">
        <f>IFERROR(1/H274,"")</f>
        <v/>
      </c>
      <c r="U274" s="7">
        <f>IF(OR(S274="",T274=""),"",S274-T274)</f>
        <v/>
      </c>
      <c r="V274" s="7">
        <f>IF(OR(S274="",H274=""),"",S274*H274-1)</f>
        <v/>
      </c>
      <c r="W274" s="2">
        <f>IF(E274="","",ROUND(100*(0.22*I274+0.18*J274+0.18*K274+0.10*L274+0.08*M274+0.06*N274+0.06*O274+0.04*P274+0.04*Q274+0.04*MIN(R274/10,1)),0))</f>
        <v/>
      </c>
      <c r="X274" s="2">
        <f>IF(W274="","",IF(W274&gt;=CONFIG!$B$11,"FUERTE",IF(W274&gt;=CONFIG!$B$12,"MEDIA","BAJA")))</f>
        <v/>
      </c>
      <c r="Y274" s="2">
        <f>IF(OR(H274="",S274=""),"",IF(OR(H274&lt;CONFIG!$B$2,H274&gt;CONFIG!$B$3),"NO APTO",IF(S274&lt;IF(H274&lt;1.6,CONFIG!$B$4,IF(H274&lt;1.7,CONFIG!$B$5,IF(H274&lt;1.8,CONFIG!$B$6,IF(H274&lt;2,CONFIG!$B$7,IF(H274&lt;2.2,CONFIG!$B$8,CONFIG!$B$9))))),"NO APTO",IF(V274&lt;CONFIG!$B$10,"NO APTO",IF(AND(W274&gt;=CONFIG!$B$11,R274&gt;=CONFIG!$B$13),"ALERTA FUERTE",IF(AND(W274&gt;=CONFIG!$B$12,R274&gt;=CONFIG!$B$13),"ALERTA MEDIA","NO APTO"))))))</f>
        <v/>
      </c>
      <c r="Z274" s="2">
        <f>IF(Y274="","",IF(Y274="NO APTO","Revisar cuota/probabilidad/EV/puntuación/muestra",IF(Y274="ALERTA FUERTE","Cumple filtros de cuota + probabilidad + EV + confianza + muestra","Cumple filtros, pero confianza inferior a FUERTE")))</f>
        <v/>
      </c>
    </row>
    <row r="275">
      <c r="A275" s="2">
        <f>IF(E275="","",ROW()-1)</f>
        <v/>
      </c>
      <c r="B275" s="2" t="inlineStr">
        <is>
          <t>2026-08-19</t>
        </is>
      </c>
      <c r="C275" s="2" t="inlineStr">
        <is>
          <t>13:15</t>
        </is>
      </c>
      <c r="D275" s="2" t="inlineStr">
        <is>
          <t>1. Liga Classic - Group 2</t>
        </is>
      </c>
      <c r="E275" s="2" t="inlineStr">
        <is>
          <t>Buochs vs Bassecourt</t>
        </is>
      </c>
      <c r="F275" s="2" t="inlineStr">
        <is>
          <t>PENDIENTE</t>
        </is>
      </c>
      <c r="G275" s="2" t="inlineStr">
        <is>
          <t>SELECCIONAR MERCADO</t>
        </is>
      </c>
      <c r="H275" s="6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2" t="n"/>
      <c r="S275" s="7" t="n"/>
      <c r="T275" s="7">
        <f>IFERROR(1/H275,"")</f>
        <v/>
      </c>
      <c r="U275" s="7">
        <f>IF(OR(S275="",T275=""),"",S275-T275)</f>
        <v/>
      </c>
      <c r="V275" s="7">
        <f>IF(OR(S275="",H275=""),"",S275*H275-1)</f>
        <v/>
      </c>
      <c r="W275" s="2">
        <f>IF(E275="","",ROUND(100*(0.22*I275+0.18*J275+0.18*K275+0.10*L275+0.08*M275+0.06*N275+0.06*O275+0.04*P275+0.04*Q275+0.04*MIN(R275/10,1)),0))</f>
        <v/>
      </c>
      <c r="X275" s="2">
        <f>IF(W275="","",IF(W275&gt;=CONFIG!$B$11,"FUERTE",IF(W275&gt;=CONFIG!$B$12,"MEDIA","BAJA")))</f>
        <v/>
      </c>
      <c r="Y275" s="2">
        <f>IF(OR(H275="",S275=""),"",IF(OR(H275&lt;CONFIG!$B$2,H275&gt;CONFIG!$B$3),"NO APTO",IF(S275&lt;IF(H275&lt;1.6,CONFIG!$B$4,IF(H275&lt;1.7,CONFIG!$B$5,IF(H275&lt;1.8,CONFIG!$B$6,IF(H275&lt;2,CONFIG!$B$7,IF(H275&lt;2.2,CONFIG!$B$8,CONFIG!$B$9))))),"NO APTO",IF(V275&lt;CONFIG!$B$10,"NO APTO",IF(AND(W275&gt;=CONFIG!$B$11,R275&gt;=CONFIG!$B$13),"ALERTA FUERTE",IF(AND(W275&gt;=CONFIG!$B$12,R275&gt;=CONFIG!$B$13),"ALERTA MEDIA","NO APTO"))))))</f>
        <v/>
      </c>
      <c r="Z275" s="2">
        <f>IF(Y275="","",IF(Y275="NO APTO","Revisar cuota/probabilidad/EV/puntuación/muestra",IF(Y275="ALERTA FUERTE","Cumple filtros de cuota + probabilidad + EV + confianza + muestra","Cumple filtros, pero confianza inferior a FUERTE")))</f>
        <v/>
      </c>
    </row>
    <row r="276">
      <c r="A276" s="2">
        <f>IF(E276="","",ROW()-1)</f>
        <v/>
      </c>
      <c r="B276" s="2" t="inlineStr">
        <is>
          <t>2026-08-19</t>
        </is>
      </c>
      <c r="C276" s="2" t="inlineStr">
        <is>
          <t>13:30</t>
        </is>
      </c>
      <c r="D276" s="2" t="inlineStr">
        <is>
          <t>Friendlies Clubs</t>
        </is>
      </c>
      <c r="E276" s="2" t="inlineStr">
        <is>
          <t>CF Talavera vs Getafe II</t>
        </is>
      </c>
      <c r="F276" s="2" t="inlineStr">
        <is>
          <t>PENDIENTE</t>
        </is>
      </c>
      <c r="G276" s="2" t="inlineStr">
        <is>
          <t>SELECCIONAR MERCADO</t>
        </is>
      </c>
      <c r="H276" s="6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2" t="n"/>
      <c r="S276" s="7" t="n"/>
      <c r="T276" s="7">
        <f>IFERROR(1/H276,"")</f>
        <v/>
      </c>
      <c r="U276" s="7">
        <f>IF(OR(S276="",T276=""),"",S276-T276)</f>
        <v/>
      </c>
      <c r="V276" s="7">
        <f>IF(OR(S276="",H276=""),"",S276*H276-1)</f>
        <v/>
      </c>
      <c r="W276" s="2">
        <f>IF(E276="","",ROUND(100*(0.22*I276+0.18*J276+0.18*K276+0.10*L276+0.08*M276+0.06*N276+0.06*O276+0.04*P276+0.04*Q276+0.04*MIN(R276/10,1)),0))</f>
        <v/>
      </c>
      <c r="X276" s="2">
        <f>IF(W276="","",IF(W276&gt;=CONFIG!$B$11,"FUERTE",IF(W276&gt;=CONFIG!$B$12,"MEDIA","BAJA")))</f>
        <v/>
      </c>
      <c r="Y276" s="2">
        <f>IF(OR(H276="",S276=""),"",IF(OR(H276&lt;CONFIG!$B$2,H276&gt;CONFIG!$B$3),"NO APTO",IF(S276&lt;IF(H276&lt;1.6,CONFIG!$B$4,IF(H276&lt;1.7,CONFIG!$B$5,IF(H276&lt;1.8,CONFIG!$B$6,IF(H276&lt;2,CONFIG!$B$7,IF(H276&lt;2.2,CONFIG!$B$8,CONFIG!$B$9))))),"NO APTO",IF(V276&lt;CONFIG!$B$10,"NO APTO",IF(AND(W276&gt;=CONFIG!$B$11,R276&gt;=CONFIG!$B$13),"ALERTA FUERTE",IF(AND(W276&gt;=CONFIG!$B$12,R276&gt;=CONFIG!$B$13),"ALERTA MEDIA","NO APTO"))))))</f>
        <v/>
      </c>
      <c r="Z276" s="2">
        <f>IF(Y276="","",IF(Y276="NO APTO","Revisar cuota/probabilidad/EV/puntuación/muestra",IF(Y276="ALERTA FUERTE","Cumple filtros de cuota + probabilidad + EV + confianza + muestra","Cumple filtros, pero confianza inferior a FUERTE")))</f>
        <v/>
      </c>
    </row>
    <row r="277">
      <c r="A277" s="2">
        <f>IF(E277="","",ROW()-1)</f>
        <v/>
      </c>
      <c r="B277" s="2" t="inlineStr">
        <is>
          <t>2026-08-19</t>
        </is>
      </c>
      <c r="C277" s="2" t="inlineStr">
        <is>
          <t>13:45</t>
        </is>
      </c>
      <c r="D277" s="2" t="inlineStr">
        <is>
          <t>Football League - Lowland League</t>
        </is>
      </c>
      <c r="E277" s="2" t="inlineStr">
        <is>
          <t>Auchinleck Talbot vs Beith</t>
        </is>
      </c>
      <c r="F277" s="2" t="inlineStr">
        <is>
          <t>PENDIENTE</t>
        </is>
      </c>
      <c r="G277" s="2" t="inlineStr">
        <is>
          <t>SELECCIONAR MERCADO</t>
        </is>
      </c>
      <c r="H277" s="6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2" t="n"/>
      <c r="S277" s="7" t="n"/>
      <c r="T277" s="7">
        <f>IFERROR(1/H277,"")</f>
        <v/>
      </c>
      <c r="U277" s="7">
        <f>IF(OR(S277="",T277=""),"",S277-T277)</f>
        <v/>
      </c>
      <c r="V277" s="7">
        <f>IF(OR(S277="",H277=""),"",S277*H277-1)</f>
        <v/>
      </c>
      <c r="W277" s="2">
        <f>IF(E277="","",ROUND(100*(0.22*I277+0.18*J277+0.18*K277+0.10*L277+0.08*M277+0.06*N277+0.06*O277+0.04*P277+0.04*Q277+0.04*MIN(R277/10,1)),0))</f>
        <v/>
      </c>
      <c r="X277" s="2">
        <f>IF(W277="","",IF(W277&gt;=CONFIG!$B$11,"FUERTE",IF(W277&gt;=CONFIG!$B$12,"MEDIA","BAJA")))</f>
        <v/>
      </c>
      <c r="Y277" s="2">
        <f>IF(OR(H277="",S277=""),"",IF(OR(H277&lt;CONFIG!$B$2,H277&gt;CONFIG!$B$3),"NO APTO",IF(S277&lt;IF(H277&lt;1.6,CONFIG!$B$4,IF(H277&lt;1.7,CONFIG!$B$5,IF(H277&lt;1.8,CONFIG!$B$6,IF(H277&lt;2,CONFIG!$B$7,IF(H277&lt;2.2,CONFIG!$B$8,CONFIG!$B$9))))),"NO APTO",IF(V277&lt;CONFIG!$B$10,"NO APTO",IF(AND(W277&gt;=CONFIG!$B$11,R277&gt;=CONFIG!$B$13),"ALERTA FUERTE",IF(AND(W277&gt;=CONFIG!$B$12,R277&gt;=CONFIG!$B$13),"ALERTA MEDIA","NO APTO"))))))</f>
        <v/>
      </c>
      <c r="Z277" s="2">
        <f>IF(Y277="","",IF(Y277="NO APTO","Revisar cuota/probabilidad/EV/puntuación/muestra",IF(Y277="ALERTA FUERTE","Cumple filtros de cuota + probabilidad + EV + confianza + muestra","Cumple filtros, pero confianza inferior a FUERTE")))</f>
        <v/>
      </c>
    </row>
    <row r="278">
      <c r="A278" s="2">
        <f>IF(E278="","",ROW()-1)</f>
        <v/>
      </c>
      <c r="B278" s="2" t="inlineStr">
        <is>
          <t>2026-08-19</t>
        </is>
      </c>
      <c r="C278" s="2" t="inlineStr">
        <is>
          <t>13:45</t>
        </is>
      </c>
      <c r="D278" s="2" t="inlineStr">
        <is>
          <t>Football League - Lowland League</t>
        </is>
      </c>
      <c r="E278" s="2" t="inlineStr">
        <is>
          <t>Pollok vs  Johnstone Burgh</t>
        </is>
      </c>
      <c r="F278" s="2" t="inlineStr">
        <is>
          <t>PENDIENTE</t>
        </is>
      </c>
      <c r="G278" s="2" t="inlineStr">
        <is>
          <t>SELECCIONAR MERCADO</t>
        </is>
      </c>
      <c r="H278" s="6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2" t="n"/>
      <c r="S278" s="7" t="n"/>
      <c r="T278" s="7">
        <f>IFERROR(1/H278,"")</f>
        <v/>
      </c>
      <c r="U278" s="7">
        <f>IF(OR(S278="",T278=""),"",S278-T278)</f>
        <v/>
      </c>
      <c r="V278" s="7">
        <f>IF(OR(S278="",H278=""),"",S278*H278-1)</f>
        <v/>
      </c>
      <c r="W278" s="2">
        <f>IF(E278="","",ROUND(100*(0.22*I278+0.18*J278+0.18*K278+0.10*L278+0.08*M278+0.06*N278+0.06*O278+0.04*P278+0.04*Q278+0.04*MIN(R278/10,1)),0))</f>
        <v/>
      </c>
      <c r="X278" s="2">
        <f>IF(W278="","",IF(W278&gt;=CONFIG!$B$11,"FUERTE",IF(W278&gt;=CONFIG!$B$12,"MEDIA","BAJA")))</f>
        <v/>
      </c>
      <c r="Y278" s="2">
        <f>IF(OR(H278="",S278=""),"",IF(OR(H278&lt;CONFIG!$B$2,H278&gt;CONFIG!$B$3),"NO APTO",IF(S278&lt;IF(H278&lt;1.6,CONFIG!$B$4,IF(H278&lt;1.7,CONFIG!$B$5,IF(H278&lt;1.8,CONFIG!$B$6,IF(H278&lt;2,CONFIG!$B$7,IF(H278&lt;2.2,CONFIG!$B$8,CONFIG!$B$9))))),"NO APTO",IF(V278&lt;CONFIG!$B$10,"NO APTO",IF(AND(W278&gt;=CONFIG!$B$11,R278&gt;=CONFIG!$B$13),"ALERTA FUERTE",IF(AND(W278&gt;=CONFIG!$B$12,R278&gt;=CONFIG!$B$13),"ALERTA MEDIA","NO APTO"))))))</f>
        <v/>
      </c>
      <c r="Z278" s="2">
        <f>IF(Y278="","",IF(Y278="NO APTO","Revisar cuota/probabilidad/EV/puntuación/muestra",IF(Y278="ALERTA FUERTE","Cumple filtros de cuota + probabilidad + EV + confianza + muestra","Cumple filtros, pero confianza inferior a FUERTE")))</f>
        <v/>
      </c>
    </row>
    <row r="279">
      <c r="A279" s="2">
        <f>IF(E279="","",ROW()-1)</f>
        <v/>
      </c>
      <c r="B279" s="2" t="inlineStr">
        <is>
          <t>2026-08-19</t>
        </is>
      </c>
      <c r="C279" s="2" t="inlineStr">
        <is>
          <t>13:45</t>
        </is>
      </c>
      <c r="D279" s="2" t="inlineStr">
        <is>
          <t>Football League - Lowland League</t>
        </is>
      </c>
      <c r="E279" s="2" t="inlineStr">
        <is>
          <t>Troon FC vs Renfrew</t>
        </is>
      </c>
      <c r="F279" s="2" t="inlineStr">
        <is>
          <t>PENDIENTE</t>
        </is>
      </c>
      <c r="G279" s="2" t="inlineStr">
        <is>
          <t>SELECCIONAR MERCADO</t>
        </is>
      </c>
      <c r="H279" s="6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2" t="n"/>
      <c r="S279" s="7" t="n"/>
      <c r="T279" s="7">
        <f>IFERROR(1/H279,"")</f>
        <v/>
      </c>
      <c r="U279" s="7">
        <f>IF(OR(S279="",T279=""),"",S279-T279)</f>
        <v/>
      </c>
      <c r="V279" s="7">
        <f>IF(OR(S279="",H279=""),"",S279*H279-1)</f>
        <v/>
      </c>
      <c r="W279" s="2">
        <f>IF(E279="","",ROUND(100*(0.22*I279+0.18*J279+0.18*K279+0.10*L279+0.08*M279+0.06*N279+0.06*O279+0.04*P279+0.04*Q279+0.04*MIN(R279/10,1)),0))</f>
        <v/>
      </c>
      <c r="X279" s="2">
        <f>IF(W279="","",IF(W279&gt;=CONFIG!$B$11,"FUERTE",IF(W279&gt;=CONFIG!$B$12,"MEDIA","BAJA")))</f>
        <v/>
      </c>
      <c r="Y279" s="2">
        <f>IF(OR(H279="",S279=""),"",IF(OR(H279&lt;CONFIG!$B$2,H279&gt;CONFIG!$B$3),"NO APTO",IF(S279&lt;IF(H279&lt;1.6,CONFIG!$B$4,IF(H279&lt;1.7,CONFIG!$B$5,IF(H279&lt;1.8,CONFIG!$B$6,IF(H279&lt;2,CONFIG!$B$7,IF(H279&lt;2.2,CONFIG!$B$8,CONFIG!$B$9))))),"NO APTO",IF(V279&lt;CONFIG!$B$10,"NO APTO",IF(AND(W279&gt;=CONFIG!$B$11,R279&gt;=CONFIG!$B$13),"ALERTA FUERTE",IF(AND(W279&gt;=CONFIG!$B$12,R279&gt;=CONFIG!$B$13),"ALERTA MEDIA","NO APTO"))))))</f>
        <v/>
      </c>
      <c r="Z279" s="2">
        <f>IF(Y279="","",IF(Y279="NO APTO","Revisar cuota/probabilidad/EV/puntuación/muestra",IF(Y279="ALERTA FUERTE","Cumple filtros de cuota + probabilidad + EV + confianza + muestra","Cumple filtros, pero confianza inferior a FUERTE")))</f>
        <v/>
      </c>
    </row>
    <row r="280">
      <c r="A280" s="2">
        <f>IF(E280="","",ROW()-1)</f>
        <v/>
      </c>
      <c r="B280" s="2" t="inlineStr">
        <is>
          <t>2026-08-19</t>
        </is>
      </c>
      <c r="C280" s="2" t="inlineStr">
        <is>
          <t>13:45</t>
        </is>
      </c>
      <c r="D280" s="2" t="inlineStr">
        <is>
          <t>National League - South</t>
        </is>
      </c>
      <c r="E280" s="2" t="inlineStr">
        <is>
          <t>Farnborough vs Chesham United</t>
        </is>
      </c>
      <c r="F280" s="2" t="inlineStr">
        <is>
          <t>PENDIENTE</t>
        </is>
      </c>
      <c r="G280" s="2" t="inlineStr">
        <is>
          <t>SELECCIONAR MERCADO</t>
        </is>
      </c>
      <c r="H280" s="6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2" t="n"/>
      <c r="S280" s="7" t="n"/>
      <c r="T280" s="7">
        <f>IFERROR(1/H280,"")</f>
        <v/>
      </c>
      <c r="U280" s="7">
        <f>IF(OR(S280="",T280=""),"",S280-T280)</f>
        <v/>
      </c>
      <c r="V280" s="7">
        <f>IF(OR(S280="",H280=""),"",S280*H280-1)</f>
        <v/>
      </c>
      <c r="W280" s="2">
        <f>IF(E280="","",ROUND(100*(0.22*I280+0.18*J280+0.18*K280+0.10*L280+0.08*M280+0.06*N280+0.06*O280+0.04*P280+0.04*Q280+0.04*MIN(R280/10,1)),0))</f>
        <v/>
      </c>
      <c r="X280" s="2">
        <f>IF(W280="","",IF(W280&gt;=CONFIG!$B$11,"FUERTE",IF(W280&gt;=CONFIG!$B$12,"MEDIA","BAJA")))</f>
        <v/>
      </c>
      <c r="Y280" s="2">
        <f>IF(OR(H280="",S280=""),"",IF(OR(H280&lt;CONFIG!$B$2,H280&gt;CONFIG!$B$3),"NO APTO",IF(S280&lt;IF(H280&lt;1.6,CONFIG!$B$4,IF(H280&lt;1.7,CONFIG!$B$5,IF(H280&lt;1.8,CONFIG!$B$6,IF(H280&lt;2,CONFIG!$B$7,IF(H280&lt;2.2,CONFIG!$B$8,CONFIG!$B$9))))),"NO APTO",IF(V280&lt;CONFIG!$B$10,"NO APTO",IF(AND(W280&gt;=CONFIG!$B$11,R280&gt;=CONFIG!$B$13),"ALERTA FUERTE",IF(AND(W280&gt;=CONFIG!$B$12,R280&gt;=CONFIG!$B$13),"ALERTA MEDIA","NO APTO"))))))</f>
        <v/>
      </c>
      <c r="Z280" s="2">
        <f>IF(Y280="","",IF(Y280="NO APTO","Revisar cuota/probabilidad/EV/puntuación/muestra",IF(Y280="ALERTA FUERTE","Cumple filtros de cuota + probabilidad + EV + confianza + muestra","Cumple filtros, pero confianza inferior a FUERTE")))</f>
        <v/>
      </c>
    </row>
    <row r="281">
      <c r="A281" s="2">
        <f>IF(E281="","",ROW()-1)</f>
        <v/>
      </c>
      <c r="B281" s="2" t="inlineStr">
        <is>
          <t>2026-08-19</t>
        </is>
      </c>
      <c r="C281" s="2" t="inlineStr">
        <is>
          <t>13:45</t>
        </is>
      </c>
      <c r="D281" s="2" t="inlineStr">
        <is>
          <t>Non League Premier - Northern</t>
        </is>
      </c>
      <c r="E281" s="2" t="inlineStr">
        <is>
          <t>Avro vs Workington</t>
        </is>
      </c>
      <c r="F281" s="2" t="inlineStr">
        <is>
          <t>PENDIENTE</t>
        </is>
      </c>
      <c r="G281" s="2" t="inlineStr">
        <is>
          <t>SELECCIONAR MERCADO</t>
        </is>
      </c>
      <c r="H281" s="6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2" t="n"/>
      <c r="S281" s="7" t="n"/>
      <c r="T281" s="7">
        <f>IFERROR(1/H281,"")</f>
        <v/>
      </c>
      <c r="U281" s="7">
        <f>IF(OR(S281="",T281=""),"",S281-T281)</f>
        <v/>
      </c>
      <c r="V281" s="7">
        <f>IF(OR(S281="",H281=""),"",S281*H281-1)</f>
        <v/>
      </c>
      <c r="W281" s="2">
        <f>IF(E281="","",ROUND(100*(0.22*I281+0.18*J281+0.18*K281+0.10*L281+0.08*M281+0.06*N281+0.06*O281+0.04*P281+0.04*Q281+0.04*MIN(R281/10,1)),0))</f>
        <v/>
      </c>
      <c r="X281" s="2">
        <f>IF(W281="","",IF(W281&gt;=CONFIG!$B$11,"FUERTE",IF(W281&gt;=CONFIG!$B$12,"MEDIA","BAJA")))</f>
        <v/>
      </c>
      <c r="Y281" s="2">
        <f>IF(OR(H281="",S281=""),"",IF(OR(H281&lt;CONFIG!$B$2,H281&gt;CONFIG!$B$3),"NO APTO",IF(S281&lt;IF(H281&lt;1.6,CONFIG!$B$4,IF(H281&lt;1.7,CONFIG!$B$5,IF(H281&lt;1.8,CONFIG!$B$6,IF(H281&lt;2,CONFIG!$B$7,IF(H281&lt;2.2,CONFIG!$B$8,CONFIG!$B$9))))),"NO APTO",IF(V281&lt;CONFIG!$B$10,"NO APTO",IF(AND(W281&gt;=CONFIG!$B$11,R281&gt;=CONFIG!$B$13),"ALERTA FUERTE",IF(AND(W281&gt;=CONFIG!$B$12,R281&gt;=CONFIG!$B$13),"ALERTA MEDIA","NO APTO"))))))</f>
        <v/>
      </c>
      <c r="Z281" s="2">
        <f>IF(Y281="","",IF(Y281="NO APTO","Revisar cuota/probabilidad/EV/puntuación/muestra",IF(Y281="ALERTA FUERTE","Cumple filtros de cuota + probabilidad + EV + confianza + muestra","Cumple filtros, pero confianza inferior a FUERTE")))</f>
        <v/>
      </c>
    </row>
    <row r="282">
      <c r="A282" s="2">
        <f>IF(E282="","",ROW()-1)</f>
        <v/>
      </c>
      <c r="B282" s="2" t="inlineStr">
        <is>
          <t>2026-08-19</t>
        </is>
      </c>
      <c r="C282" s="2" t="inlineStr">
        <is>
          <t>14:00</t>
        </is>
      </c>
      <c r="D282" s="2" t="inlineStr">
        <is>
          <t>Football League - Highland League</t>
        </is>
      </c>
      <c r="E282" s="2" t="inlineStr">
        <is>
          <t>Banks O' Dee vs Turriff United</t>
        </is>
      </c>
      <c r="F282" s="2" t="inlineStr">
        <is>
          <t>PENDIENTE</t>
        </is>
      </c>
      <c r="G282" s="2" t="inlineStr">
        <is>
          <t>SELECCIONAR MERCADO</t>
        </is>
      </c>
      <c r="H282" s="6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2" t="n"/>
      <c r="S282" s="7" t="n"/>
      <c r="T282" s="7">
        <f>IFERROR(1/H282,"")</f>
        <v/>
      </c>
      <c r="U282" s="7">
        <f>IF(OR(S282="",T282=""),"",S282-T282)</f>
        <v/>
      </c>
      <c r="V282" s="7">
        <f>IF(OR(S282="",H282=""),"",S282*H282-1)</f>
        <v/>
      </c>
      <c r="W282" s="2">
        <f>IF(E282="","",ROUND(100*(0.22*I282+0.18*J282+0.18*K282+0.10*L282+0.08*M282+0.06*N282+0.06*O282+0.04*P282+0.04*Q282+0.04*MIN(R282/10,1)),0))</f>
        <v/>
      </c>
      <c r="X282" s="2">
        <f>IF(W282="","",IF(W282&gt;=CONFIG!$B$11,"FUERTE",IF(W282&gt;=CONFIG!$B$12,"MEDIA","BAJA")))</f>
        <v/>
      </c>
      <c r="Y282" s="2">
        <f>IF(OR(H282="",S282=""),"",IF(OR(H282&lt;CONFIG!$B$2,H282&gt;CONFIG!$B$3),"NO APTO",IF(S282&lt;IF(H282&lt;1.6,CONFIG!$B$4,IF(H282&lt;1.7,CONFIG!$B$5,IF(H282&lt;1.8,CONFIG!$B$6,IF(H282&lt;2,CONFIG!$B$7,IF(H282&lt;2.2,CONFIG!$B$8,CONFIG!$B$9))))),"NO APTO",IF(V282&lt;CONFIG!$B$10,"NO APTO",IF(AND(W282&gt;=CONFIG!$B$11,R282&gt;=CONFIG!$B$13),"ALERTA FUERTE",IF(AND(W282&gt;=CONFIG!$B$12,R282&gt;=CONFIG!$B$13),"ALERTA MEDIA","NO APTO"))))))</f>
        <v/>
      </c>
      <c r="Z282" s="2">
        <f>IF(Y282="","",IF(Y282="NO APTO","Revisar cuota/probabilidad/EV/puntuación/muestra",IF(Y282="ALERTA FUERTE","Cumple filtros de cuota + probabilidad + EV + confianza + muestra","Cumple filtros, pero confianza inferior a FUERTE")))</f>
        <v/>
      </c>
    </row>
    <row r="283">
      <c r="A283" s="2">
        <f>IF(E283="","",ROW()-1)</f>
        <v/>
      </c>
      <c r="B283" s="2" t="inlineStr">
        <is>
          <t>2026-08-19</t>
        </is>
      </c>
      <c r="C283" s="2" t="inlineStr">
        <is>
          <t>14:00</t>
        </is>
      </c>
      <c r="D283" s="2" t="inlineStr">
        <is>
          <t>Football League - Highland League</t>
        </is>
      </c>
      <c r="E283" s="2" t="inlineStr">
        <is>
          <t>Forres Mechanics vs Clachnacuddin</t>
        </is>
      </c>
      <c r="F283" s="2" t="inlineStr">
        <is>
          <t>PENDIENTE</t>
        </is>
      </c>
      <c r="G283" s="2" t="inlineStr">
        <is>
          <t>SELECCIONAR MERCADO</t>
        </is>
      </c>
      <c r="H283" s="6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2" t="n"/>
      <c r="S283" s="7" t="n"/>
      <c r="T283" s="7">
        <f>IFERROR(1/H283,"")</f>
        <v/>
      </c>
      <c r="U283" s="7">
        <f>IF(OR(S283="",T283=""),"",S283-T283)</f>
        <v/>
      </c>
      <c r="V283" s="7">
        <f>IF(OR(S283="",H283=""),"",S283*H283-1)</f>
        <v/>
      </c>
      <c r="W283" s="2">
        <f>IF(E283="","",ROUND(100*(0.22*I283+0.18*J283+0.18*K283+0.10*L283+0.08*M283+0.06*N283+0.06*O283+0.04*P283+0.04*Q283+0.04*MIN(R283/10,1)),0))</f>
        <v/>
      </c>
      <c r="X283" s="2">
        <f>IF(W283="","",IF(W283&gt;=CONFIG!$B$11,"FUERTE",IF(W283&gt;=CONFIG!$B$12,"MEDIA","BAJA")))</f>
        <v/>
      </c>
      <c r="Y283" s="2">
        <f>IF(OR(H283="",S283=""),"",IF(OR(H283&lt;CONFIG!$B$2,H283&gt;CONFIG!$B$3),"NO APTO",IF(S283&lt;IF(H283&lt;1.6,CONFIG!$B$4,IF(H283&lt;1.7,CONFIG!$B$5,IF(H283&lt;1.8,CONFIG!$B$6,IF(H283&lt;2,CONFIG!$B$7,IF(H283&lt;2.2,CONFIG!$B$8,CONFIG!$B$9))))),"NO APTO",IF(V283&lt;CONFIG!$B$10,"NO APTO",IF(AND(W283&gt;=CONFIG!$B$11,R283&gt;=CONFIG!$B$13),"ALERTA FUERTE",IF(AND(W283&gt;=CONFIG!$B$12,R283&gt;=CONFIG!$B$13),"ALERTA MEDIA","NO APTO"))))))</f>
        <v/>
      </c>
      <c r="Z283" s="2">
        <f>IF(Y283="","",IF(Y283="NO APTO","Revisar cuota/probabilidad/EV/puntuación/muestra",IF(Y283="ALERTA FUERTE","Cumple filtros de cuota + probabilidad + EV + confianza + muestra","Cumple filtros, pero confianza inferior a FUERTE")))</f>
        <v/>
      </c>
    </row>
    <row r="284">
      <c r="A284" s="2">
        <f>IF(E284="","",ROW()-1)</f>
        <v/>
      </c>
      <c r="B284" s="2" t="inlineStr">
        <is>
          <t>2026-08-19</t>
        </is>
      </c>
      <c r="C284" s="2" t="inlineStr">
        <is>
          <t>14:00</t>
        </is>
      </c>
      <c r="D284" s="2" t="inlineStr">
        <is>
          <t>Football League - Highland League</t>
        </is>
      </c>
      <c r="E284" s="2" t="inlineStr">
        <is>
          <t>Inverurie Loco Works vs Fraserburgh</t>
        </is>
      </c>
      <c r="F284" s="2" t="inlineStr">
        <is>
          <t>PENDIENTE</t>
        </is>
      </c>
      <c r="G284" s="2" t="inlineStr">
        <is>
          <t>SELECCIONAR MERCADO</t>
        </is>
      </c>
      <c r="H284" s="6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2" t="n"/>
      <c r="S284" s="7" t="n"/>
      <c r="T284" s="7">
        <f>IFERROR(1/H284,"")</f>
        <v/>
      </c>
      <c r="U284" s="7">
        <f>IF(OR(S284="",T284=""),"",S284-T284)</f>
        <v/>
      </c>
      <c r="V284" s="7">
        <f>IF(OR(S284="",H284=""),"",S284*H284-1)</f>
        <v/>
      </c>
      <c r="W284" s="2">
        <f>IF(E284="","",ROUND(100*(0.22*I284+0.18*J284+0.18*K284+0.10*L284+0.08*M284+0.06*N284+0.06*O284+0.04*P284+0.04*Q284+0.04*MIN(R284/10,1)),0))</f>
        <v/>
      </c>
      <c r="X284" s="2">
        <f>IF(W284="","",IF(W284&gt;=CONFIG!$B$11,"FUERTE",IF(W284&gt;=CONFIG!$B$12,"MEDIA","BAJA")))</f>
        <v/>
      </c>
      <c r="Y284" s="2">
        <f>IF(OR(H284="",S284=""),"",IF(OR(H284&lt;CONFIG!$B$2,H284&gt;CONFIG!$B$3),"NO APTO",IF(S284&lt;IF(H284&lt;1.6,CONFIG!$B$4,IF(H284&lt;1.7,CONFIG!$B$5,IF(H284&lt;1.8,CONFIG!$B$6,IF(H284&lt;2,CONFIG!$B$7,IF(H284&lt;2.2,CONFIG!$B$8,CONFIG!$B$9))))),"NO APTO",IF(V284&lt;CONFIG!$B$10,"NO APTO",IF(AND(W284&gt;=CONFIG!$B$11,R284&gt;=CONFIG!$B$13),"ALERTA FUERTE",IF(AND(W284&gt;=CONFIG!$B$12,R284&gt;=CONFIG!$B$13),"ALERTA MEDIA","NO APTO"))))))</f>
        <v/>
      </c>
      <c r="Z284" s="2">
        <f>IF(Y284="","",IF(Y284="NO APTO","Revisar cuota/probabilidad/EV/puntuación/muestra",IF(Y284="ALERTA FUERTE","Cumple filtros de cuota + probabilidad + EV + confianza + muestra","Cumple filtros, pero confianza inferior a FUERTE")))</f>
        <v/>
      </c>
    </row>
    <row r="285">
      <c r="A285" s="2">
        <f>IF(E285="","",ROW()-1)</f>
        <v/>
      </c>
      <c r="B285" s="2" t="inlineStr">
        <is>
          <t>2026-08-19</t>
        </is>
      </c>
      <c r="C285" s="2" t="inlineStr">
        <is>
          <t>14:00</t>
        </is>
      </c>
      <c r="D285" s="2" t="inlineStr">
        <is>
          <t>Football League - Highland League</t>
        </is>
      </c>
      <c r="E285" s="2" t="inlineStr">
        <is>
          <t>Nairn County vs Lossiemouth</t>
        </is>
      </c>
      <c r="F285" s="2" t="inlineStr">
        <is>
          <t>PENDIENTE</t>
        </is>
      </c>
      <c r="G285" s="2" t="inlineStr">
        <is>
          <t>SELECCIONAR MERCADO</t>
        </is>
      </c>
      <c r="H285" s="6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2" t="n"/>
      <c r="S285" s="7" t="n"/>
      <c r="T285" s="7">
        <f>IFERROR(1/H285,"")</f>
        <v/>
      </c>
      <c r="U285" s="7">
        <f>IF(OR(S285="",T285=""),"",S285-T285)</f>
        <v/>
      </c>
      <c r="V285" s="7">
        <f>IF(OR(S285="",H285=""),"",S285*H285-1)</f>
        <v/>
      </c>
      <c r="W285" s="2">
        <f>IF(E285="","",ROUND(100*(0.22*I285+0.18*J285+0.18*K285+0.10*L285+0.08*M285+0.06*N285+0.06*O285+0.04*P285+0.04*Q285+0.04*MIN(R285/10,1)),0))</f>
        <v/>
      </c>
      <c r="X285" s="2">
        <f>IF(W285="","",IF(W285&gt;=CONFIG!$B$11,"FUERTE",IF(W285&gt;=CONFIG!$B$12,"MEDIA","BAJA")))</f>
        <v/>
      </c>
      <c r="Y285" s="2">
        <f>IF(OR(H285="",S285=""),"",IF(OR(H285&lt;CONFIG!$B$2,H285&gt;CONFIG!$B$3),"NO APTO",IF(S285&lt;IF(H285&lt;1.6,CONFIG!$B$4,IF(H285&lt;1.7,CONFIG!$B$5,IF(H285&lt;1.8,CONFIG!$B$6,IF(H285&lt;2,CONFIG!$B$7,IF(H285&lt;2.2,CONFIG!$B$8,CONFIG!$B$9))))),"NO APTO",IF(V285&lt;CONFIG!$B$10,"NO APTO",IF(AND(W285&gt;=CONFIG!$B$11,R285&gt;=CONFIG!$B$13),"ALERTA FUERTE",IF(AND(W285&gt;=CONFIG!$B$12,R285&gt;=CONFIG!$B$13),"ALERTA MEDIA","NO APTO"))))))</f>
        <v/>
      </c>
      <c r="Z285" s="2">
        <f>IF(Y285="","",IF(Y285="NO APTO","Revisar cuota/probabilidad/EV/puntuación/muestra",IF(Y285="ALERTA FUERTE","Cumple filtros de cuota + probabilidad + EV + confianza + muestra","Cumple filtros, pero confianza inferior a FUERTE")))</f>
        <v/>
      </c>
    </row>
    <row r="286">
      <c r="A286" s="2">
        <f>IF(E286="","",ROW()-1)</f>
        <v/>
      </c>
      <c r="B286" s="2" t="inlineStr">
        <is>
          <t>2026-08-19</t>
        </is>
      </c>
      <c r="C286" s="2" t="inlineStr">
        <is>
          <t>14:00</t>
        </is>
      </c>
      <c r="D286" s="2" t="inlineStr">
        <is>
          <t>Football League - Highland League</t>
        </is>
      </c>
      <c r="E286" s="2" t="inlineStr">
        <is>
          <t>Rothes vs Formartine United</t>
        </is>
      </c>
      <c r="F286" s="2" t="inlineStr">
        <is>
          <t>PENDIENTE</t>
        </is>
      </c>
      <c r="G286" s="2" t="inlineStr">
        <is>
          <t>SELECCIONAR MERCADO</t>
        </is>
      </c>
      <c r="H286" s="6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2" t="n"/>
      <c r="S286" s="7" t="n"/>
      <c r="T286" s="7">
        <f>IFERROR(1/H286,"")</f>
        <v/>
      </c>
      <c r="U286" s="7">
        <f>IF(OR(S286="",T286=""),"",S286-T286)</f>
        <v/>
      </c>
      <c r="V286" s="7">
        <f>IF(OR(S286="",H286=""),"",S286*H286-1)</f>
        <v/>
      </c>
      <c r="W286" s="2">
        <f>IF(E286="","",ROUND(100*(0.22*I286+0.18*J286+0.18*K286+0.10*L286+0.08*M286+0.06*N286+0.06*O286+0.04*P286+0.04*Q286+0.04*MIN(R286/10,1)),0))</f>
        <v/>
      </c>
      <c r="X286" s="2">
        <f>IF(W286="","",IF(W286&gt;=CONFIG!$B$11,"FUERTE",IF(W286&gt;=CONFIG!$B$12,"MEDIA","BAJA")))</f>
        <v/>
      </c>
      <c r="Y286" s="2">
        <f>IF(OR(H286="",S286=""),"",IF(OR(H286&lt;CONFIG!$B$2,H286&gt;CONFIG!$B$3),"NO APTO",IF(S286&lt;IF(H286&lt;1.6,CONFIG!$B$4,IF(H286&lt;1.7,CONFIG!$B$5,IF(H286&lt;1.8,CONFIG!$B$6,IF(H286&lt;2,CONFIG!$B$7,IF(H286&lt;2.2,CONFIG!$B$8,CONFIG!$B$9))))),"NO APTO",IF(V286&lt;CONFIG!$B$10,"NO APTO",IF(AND(W286&gt;=CONFIG!$B$11,R286&gt;=CONFIG!$B$13),"ALERTA FUERTE",IF(AND(W286&gt;=CONFIG!$B$12,R286&gt;=CONFIG!$B$13),"ALERTA MEDIA","NO APTO"))))))</f>
        <v/>
      </c>
      <c r="Z286" s="2">
        <f>IF(Y286="","",IF(Y286="NO APTO","Revisar cuota/probabilidad/EV/puntuación/muestra",IF(Y286="ALERTA FUERTE","Cumple filtros de cuota + probabilidad + EV + confianza + muestra","Cumple filtros, pero confianza inferior a FUERTE")))</f>
        <v/>
      </c>
    </row>
    <row r="287">
      <c r="A287" s="2">
        <f>IF(E287="","",ROW()-1)</f>
        <v/>
      </c>
      <c r="B287" s="2" t="inlineStr">
        <is>
          <t>2026-08-19</t>
        </is>
      </c>
      <c r="C287" s="2" t="inlineStr">
        <is>
          <t>14:00</t>
        </is>
      </c>
      <c r="D287" s="2" t="inlineStr">
        <is>
          <t>Football League - Highland League</t>
        </is>
      </c>
      <c r="E287" s="2" t="inlineStr">
        <is>
          <t>Strathspey Thistle vs Brora Rangers</t>
        </is>
      </c>
      <c r="F287" s="2" t="inlineStr">
        <is>
          <t>PENDIENTE</t>
        </is>
      </c>
      <c r="G287" s="2" t="inlineStr">
        <is>
          <t>SELECCIONAR MERCADO</t>
        </is>
      </c>
      <c r="H287" s="6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2" t="n"/>
      <c r="S287" s="7" t="n"/>
      <c r="T287" s="7">
        <f>IFERROR(1/H287,"")</f>
        <v/>
      </c>
      <c r="U287" s="7">
        <f>IF(OR(S287="",T287=""),"",S287-T287)</f>
        <v/>
      </c>
      <c r="V287" s="7">
        <f>IF(OR(S287="",H287=""),"",S287*H287-1)</f>
        <v/>
      </c>
      <c r="W287" s="2">
        <f>IF(E287="","",ROUND(100*(0.22*I287+0.18*J287+0.18*K287+0.10*L287+0.08*M287+0.06*N287+0.06*O287+0.04*P287+0.04*Q287+0.04*MIN(R287/10,1)),0))</f>
        <v/>
      </c>
      <c r="X287" s="2">
        <f>IF(W287="","",IF(W287&gt;=CONFIG!$B$11,"FUERTE",IF(W287&gt;=CONFIG!$B$12,"MEDIA","BAJA")))</f>
        <v/>
      </c>
      <c r="Y287" s="2">
        <f>IF(OR(H287="",S287=""),"",IF(OR(H287&lt;CONFIG!$B$2,H287&gt;CONFIG!$B$3),"NO APTO",IF(S287&lt;IF(H287&lt;1.6,CONFIG!$B$4,IF(H287&lt;1.7,CONFIG!$B$5,IF(H287&lt;1.8,CONFIG!$B$6,IF(H287&lt;2,CONFIG!$B$7,IF(H287&lt;2.2,CONFIG!$B$8,CONFIG!$B$9))))),"NO APTO",IF(V287&lt;CONFIG!$B$10,"NO APTO",IF(AND(W287&gt;=CONFIG!$B$11,R287&gt;=CONFIG!$B$13),"ALERTA FUERTE",IF(AND(W287&gt;=CONFIG!$B$12,R287&gt;=CONFIG!$B$13),"ALERTA MEDIA","NO APTO"))))))</f>
        <v/>
      </c>
      <c r="Z287" s="2">
        <f>IF(Y287="","",IF(Y287="NO APTO","Revisar cuota/probabilidad/EV/puntuación/muestra",IF(Y287="ALERTA FUERTE","Cumple filtros de cuota + probabilidad + EV + confianza + muestra","Cumple filtros, pero confianza inferior a FUERTE")))</f>
        <v/>
      </c>
    </row>
    <row r="288">
      <c r="A288" s="2">
        <f>IF(E288="","",ROW()-1)</f>
        <v/>
      </c>
      <c r="B288" s="2" t="inlineStr">
        <is>
          <t>2026-08-19</t>
        </is>
      </c>
      <c r="C288" s="2" t="inlineStr">
        <is>
          <t>14:00</t>
        </is>
      </c>
      <c r="D288" s="2" t="inlineStr">
        <is>
          <t>Football League - Highland League</t>
        </is>
      </c>
      <c r="E288" s="2" t="inlineStr">
        <is>
          <t>Wick Academy vs Invergordon</t>
        </is>
      </c>
      <c r="F288" s="2" t="inlineStr">
        <is>
          <t>PENDIENTE</t>
        </is>
      </c>
      <c r="G288" s="2" t="inlineStr">
        <is>
          <t>SELECCIONAR MERCADO</t>
        </is>
      </c>
      <c r="H288" s="6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2" t="n"/>
      <c r="S288" s="7" t="n"/>
      <c r="T288" s="7">
        <f>IFERROR(1/H288,"")</f>
        <v/>
      </c>
      <c r="U288" s="7">
        <f>IF(OR(S288="",T288=""),"",S288-T288)</f>
        <v/>
      </c>
      <c r="V288" s="7">
        <f>IF(OR(S288="",H288=""),"",S288*H288-1)</f>
        <v/>
      </c>
      <c r="W288" s="2">
        <f>IF(E288="","",ROUND(100*(0.22*I288+0.18*J288+0.18*K288+0.10*L288+0.08*M288+0.06*N288+0.06*O288+0.04*P288+0.04*Q288+0.04*MIN(R288/10,1)),0))</f>
        <v/>
      </c>
      <c r="X288" s="2">
        <f>IF(W288="","",IF(W288&gt;=CONFIG!$B$11,"FUERTE",IF(W288&gt;=CONFIG!$B$12,"MEDIA","BAJA")))</f>
        <v/>
      </c>
      <c r="Y288" s="2">
        <f>IF(OR(H288="",S288=""),"",IF(OR(H288&lt;CONFIG!$B$2,H288&gt;CONFIG!$B$3),"NO APTO",IF(S288&lt;IF(H288&lt;1.6,CONFIG!$B$4,IF(H288&lt;1.7,CONFIG!$B$5,IF(H288&lt;1.8,CONFIG!$B$6,IF(H288&lt;2,CONFIG!$B$7,IF(H288&lt;2.2,CONFIG!$B$8,CONFIG!$B$9))))),"NO APTO",IF(V288&lt;CONFIG!$B$10,"NO APTO",IF(AND(W288&gt;=CONFIG!$B$11,R288&gt;=CONFIG!$B$13),"ALERTA FUERTE",IF(AND(W288&gt;=CONFIG!$B$12,R288&gt;=CONFIG!$B$13),"ALERTA MEDIA","NO APTO"))))))</f>
        <v/>
      </c>
      <c r="Z288" s="2">
        <f>IF(Y288="","",IF(Y288="NO APTO","Revisar cuota/probabilidad/EV/puntuación/muestra",IF(Y288="ALERTA FUERTE","Cumple filtros de cuota + probabilidad + EV + confianza + muestra","Cumple filtros, pero confianza inferior a FUERTE")))</f>
        <v/>
      </c>
    </row>
    <row r="289">
      <c r="A289" s="2">
        <f>IF(E289="","",ROW()-1)</f>
        <v/>
      </c>
      <c r="B289" s="2" t="inlineStr">
        <is>
          <t>2026-08-19</t>
        </is>
      </c>
      <c r="C289" s="2" t="inlineStr">
        <is>
          <t>14:00</t>
        </is>
      </c>
      <c r="D289" s="2" t="inlineStr">
        <is>
          <t>Primera B</t>
        </is>
      </c>
      <c r="E289" s="2" t="inlineStr">
        <is>
          <t>Tigres FC vs Envigado</t>
        </is>
      </c>
      <c r="F289" s="2" t="inlineStr">
        <is>
          <t>PENDIENTE</t>
        </is>
      </c>
      <c r="G289" s="2" t="inlineStr">
        <is>
          <t>SELECCIONAR MERCADO</t>
        </is>
      </c>
      <c r="H289" s="6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2" t="n"/>
      <c r="S289" s="7" t="n"/>
      <c r="T289" s="7">
        <f>IFERROR(1/H289,"")</f>
        <v/>
      </c>
      <c r="U289" s="7">
        <f>IF(OR(S289="",T289=""),"",S289-T289)</f>
        <v/>
      </c>
      <c r="V289" s="7">
        <f>IF(OR(S289="",H289=""),"",S289*H289-1)</f>
        <v/>
      </c>
      <c r="W289" s="2">
        <f>IF(E289="","",ROUND(100*(0.22*I289+0.18*J289+0.18*K289+0.10*L289+0.08*M289+0.06*N289+0.06*O289+0.04*P289+0.04*Q289+0.04*MIN(R289/10,1)),0))</f>
        <v/>
      </c>
      <c r="X289" s="2">
        <f>IF(W289="","",IF(W289&gt;=CONFIG!$B$11,"FUERTE",IF(W289&gt;=CONFIG!$B$12,"MEDIA","BAJA")))</f>
        <v/>
      </c>
      <c r="Y289" s="2">
        <f>IF(OR(H289="",S289=""),"",IF(OR(H289&lt;CONFIG!$B$2,H289&gt;CONFIG!$B$3),"NO APTO",IF(S289&lt;IF(H289&lt;1.6,CONFIG!$B$4,IF(H289&lt;1.7,CONFIG!$B$5,IF(H289&lt;1.8,CONFIG!$B$6,IF(H289&lt;2,CONFIG!$B$7,IF(H289&lt;2.2,CONFIG!$B$8,CONFIG!$B$9))))),"NO APTO",IF(V289&lt;CONFIG!$B$10,"NO APTO",IF(AND(W289&gt;=CONFIG!$B$11,R289&gt;=CONFIG!$B$13),"ALERTA FUERTE",IF(AND(W289&gt;=CONFIG!$B$12,R289&gt;=CONFIG!$B$13),"ALERTA MEDIA","NO APTO"))))))</f>
        <v/>
      </c>
      <c r="Z289" s="2">
        <f>IF(Y289="","",IF(Y289="NO APTO","Revisar cuota/probabilidad/EV/puntuación/muestra",IF(Y289="ALERTA FUERTE","Cumple filtros de cuota + probabilidad + EV + confianza + muestra","Cumple filtros, pero confianza inferior a FUERTE")))</f>
        <v/>
      </c>
    </row>
    <row r="290">
      <c r="A290" s="2">
        <f>IF(E290="","",ROW()-1)</f>
        <v/>
      </c>
      <c r="B290" s="2" t="inlineStr">
        <is>
          <t>2026-08-19</t>
        </is>
      </c>
      <c r="C290" s="2" t="inlineStr">
        <is>
          <t>14:00</t>
        </is>
      </c>
      <c r="D290" s="2" t="inlineStr">
        <is>
          <t>Prva Liga</t>
        </is>
      </c>
      <c r="E290" s="2" t="inlineStr">
        <is>
          <t>TSC Backa Topola vs FK Spartak Zdrepceva KRV</t>
        </is>
      </c>
      <c r="F290" s="2" t="inlineStr">
        <is>
          <t>PENDIENTE</t>
        </is>
      </c>
      <c r="G290" s="2" t="inlineStr">
        <is>
          <t>SELECCIONAR MERCADO</t>
        </is>
      </c>
      <c r="H290" s="6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2" t="n"/>
      <c r="S290" s="7" t="n"/>
      <c r="T290" s="7">
        <f>IFERROR(1/H290,"")</f>
        <v/>
      </c>
      <c r="U290" s="7">
        <f>IF(OR(S290="",T290=""),"",S290-T290)</f>
        <v/>
      </c>
      <c r="V290" s="7">
        <f>IF(OR(S290="",H290=""),"",S290*H290-1)</f>
        <v/>
      </c>
      <c r="W290" s="2">
        <f>IF(E290="","",ROUND(100*(0.22*I290+0.18*J290+0.18*K290+0.10*L290+0.08*M290+0.06*N290+0.06*O290+0.04*P290+0.04*Q290+0.04*MIN(R290/10,1)),0))</f>
        <v/>
      </c>
      <c r="X290" s="2">
        <f>IF(W290="","",IF(W290&gt;=CONFIG!$B$11,"FUERTE",IF(W290&gt;=CONFIG!$B$12,"MEDIA","BAJA")))</f>
        <v/>
      </c>
      <c r="Y290" s="2">
        <f>IF(OR(H290="",S290=""),"",IF(OR(H290&lt;CONFIG!$B$2,H290&gt;CONFIG!$B$3),"NO APTO",IF(S290&lt;IF(H290&lt;1.6,CONFIG!$B$4,IF(H290&lt;1.7,CONFIG!$B$5,IF(H290&lt;1.8,CONFIG!$B$6,IF(H290&lt;2,CONFIG!$B$7,IF(H290&lt;2.2,CONFIG!$B$8,CONFIG!$B$9))))),"NO APTO",IF(V290&lt;CONFIG!$B$10,"NO APTO",IF(AND(W290&gt;=CONFIG!$B$11,R290&gt;=CONFIG!$B$13),"ALERTA FUERTE",IF(AND(W290&gt;=CONFIG!$B$12,R290&gt;=CONFIG!$B$13),"ALERTA MEDIA","NO APTO"))))))</f>
        <v/>
      </c>
      <c r="Z290" s="2">
        <f>IF(Y290="","",IF(Y290="NO APTO","Revisar cuota/probabilidad/EV/puntuación/muestra",IF(Y290="ALERTA FUERTE","Cumple filtros de cuota + probabilidad + EV + confianza + muestra","Cumple filtros, pero confianza inferior a FUERTE")))</f>
        <v/>
      </c>
    </row>
    <row r="291">
      <c r="A291" s="2">
        <f>IF(E291="","",ROW()-1)</f>
        <v/>
      </c>
      <c r="B291" s="2" t="inlineStr">
        <is>
          <t>2026-08-19</t>
        </is>
      </c>
      <c r="C291" s="2" t="inlineStr">
        <is>
          <t>14:00</t>
        </is>
      </c>
      <c r="D291" s="2" t="inlineStr">
        <is>
          <t>La Liga</t>
        </is>
      </c>
      <c r="E291" s="2" t="inlineStr">
        <is>
          <t>Atletico Madrid vs Malaga</t>
        </is>
      </c>
      <c r="F291" s="2" t="inlineStr">
        <is>
          <t>PENDIENTE</t>
        </is>
      </c>
      <c r="G291" s="2" t="inlineStr">
        <is>
          <t>SELECCIONAR MERCADO</t>
        </is>
      </c>
      <c r="H291" s="6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2" t="n"/>
      <c r="S291" s="7" t="n"/>
      <c r="T291" s="7">
        <f>IFERROR(1/H291,"")</f>
        <v/>
      </c>
      <c r="U291" s="7">
        <f>IF(OR(S291="",T291=""),"",S291-T291)</f>
        <v/>
      </c>
      <c r="V291" s="7">
        <f>IF(OR(S291="",H291=""),"",S291*H291-1)</f>
        <v/>
      </c>
      <c r="W291" s="2">
        <f>IF(E291="","",ROUND(100*(0.22*I291+0.18*J291+0.18*K291+0.10*L291+0.08*M291+0.06*N291+0.06*O291+0.04*P291+0.04*Q291+0.04*MIN(R291/10,1)),0))</f>
        <v/>
      </c>
      <c r="X291" s="2">
        <f>IF(W291="","",IF(W291&gt;=CONFIG!$B$11,"FUERTE",IF(W291&gt;=CONFIG!$B$12,"MEDIA","BAJA")))</f>
        <v/>
      </c>
      <c r="Y291" s="2">
        <f>IF(OR(H291="",S291=""),"",IF(OR(H291&lt;CONFIG!$B$2,H291&gt;CONFIG!$B$3),"NO APTO",IF(S291&lt;IF(H291&lt;1.6,CONFIG!$B$4,IF(H291&lt;1.7,CONFIG!$B$5,IF(H291&lt;1.8,CONFIG!$B$6,IF(H291&lt;2,CONFIG!$B$7,IF(H291&lt;2.2,CONFIG!$B$8,CONFIG!$B$9))))),"NO APTO",IF(V291&lt;CONFIG!$B$10,"NO APTO",IF(AND(W291&gt;=CONFIG!$B$11,R291&gt;=CONFIG!$B$13),"ALERTA FUERTE",IF(AND(W291&gt;=CONFIG!$B$12,R291&gt;=CONFIG!$B$13),"ALERTA MEDIA","NO APTO"))))))</f>
        <v/>
      </c>
      <c r="Z291" s="2">
        <f>IF(Y291="","",IF(Y291="NO APTO","Revisar cuota/probabilidad/EV/puntuación/muestra",IF(Y291="ALERTA FUERTE","Cumple filtros de cuota + probabilidad + EV + confianza + muestra","Cumple filtros, pero confianza inferior a FUERTE")))</f>
        <v/>
      </c>
    </row>
    <row r="292">
      <c r="A292" s="2">
        <f>IF(E292="","",ROW()-1)</f>
        <v/>
      </c>
      <c r="B292" s="2" t="inlineStr">
        <is>
          <t>2026-08-19</t>
        </is>
      </c>
      <c r="C292" s="2" t="inlineStr">
        <is>
          <t>14:00</t>
        </is>
      </c>
      <c r="D292" s="2" t="inlineStr">
        <is>
          <t>Liga Revelação U23</t>
        </is>
      </c>
      <c r="E292" s="2" t="inlineStr">
        <is>
          <t>Moreirense U23 vs Famalicão U23</t>
        </is>
      </c>
      <c r="F292" s="2" t="inlineStr">
        <is>
          <t>PENDIENTE</t>
        </is>
      </c>
      <c r="G292" s="2" t="inlineStr">
        <is>
          <t>SELECCIONAR MERCADO</t>
        </is>
      </c>
      <c r="H292" s="6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2" t="n"/>
      <c r="S292" s="7" t="n"/>
      <c r="T292" s="7">
        <f>IFERROR(1/H292,"")</f>
        <v/>
      </c>
      <c r="U292" s="7">
        <f>IF(OR(S292="",T292=""),"",S292-T292)</f>
        <v/>
      </c>
      <c r="V292" s="7">
        <f>IF(OR(S292="",H292=""),"",S292*H292-1)</f>
        <v/>
      </c>
      <c r="W292" s="2">
        <f>IF(E292="","",ROUND(100*(0.22*I292+0.18*J292+0.18*K292+0.10*L292+0.08*M292+0.06*N292+0.06*O292+0.04*P292+0.04*Q292+0.04*MIN(R292/10,1)),0))</f>
        <v/>
      </c>
      <c r="X292" s="2">
        <f>IF(W292="","",IF(W292&gt;=CONFIG!$B$11,"FUERTE",IF(W292&gt;=CONFIG!$B$12,"MEDIA","BAJA")))</f>
        <v/>
      </c>
      <c r="Y292" s="2">
        <f>IF(OR(H292="",S292=""),"",IF(OR(H292&lt;CONFIG!$B$2,H292&gt;CONFIG!$B$3),"NO APTO",IF(S292&lt;IF(H292&lt;1.6,CONFIG!$B$4,IF(H292&lt;1.7,CONFIG!$B$5,IF(H292&lt;1.8,CONFIG!$B$6,IF(H292&lt;2,CONFIG!$B$7,IF(H292&lt;2.2,CONFIG!$B$8,CONFIG!$B$9))))),"NO APTO",IF(V292&lt;CONFIG!$B$10,"NO APTO",IF(AND(W292&gt;=CONFIG!$B$11,R292&gt;=CONFIG!$B$13),"ALERTA FUERTE",IF(AND(W292&gt;=CONFIG!$B$12,R292&gt;=CONFIG!$B$13),"ALERTA MEDIA","NO APTO"))))))</f>
        <v/>
      </c>
      <c r="Z292" s="2">
        <f>IF(Y292="","",IF(Y292="NO APTO","Revisar cuota/probabilidad/EV/puntuación/muestra",IF(Y292="ALERTA FUERTE","Cumple filtros de cuota + probabilidad + EV + confianza + muestra","Cumple filtros, pero confianza inferior a FUERTE")))</f>
        <v/>
      </c>
    </row>
    <row r="293">
      <c r="A293" s="2">
        <f>IF(E293="","",ROW()-1)</f>
        <v/>
      </c>
      <c r="B293" s="2" t="inlineStr">
        <is>
          <t>2026-08-19</t>
        </is>
      </c>
      <c r="C293" s="2" t="inlineStr">
        <is>
          <t>14:00</t>
        </is>
      </c>
      <c r="D293" s="2" t="inlineStr">
        <is>
          <t>Football League - Highland League</t>
        </is>
      </c>
      <c r="E293" s="2" t="inlineStr">
        <is>
          <t>Keith vs Deveronvale</t>
        </is>
      </c>
      <c r="F293" s="2" t="inlineStr">
        <is>
          <t>PENDIENTE</t>
        </is>
      </c>
      <c r="G293" s="2" t="inlineStr">
        <is>
          <t>SELECCIONAR MERCADO</t>
        </is>
      </c>
      <c r="H293" s="6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2" t="n"/>
      <c r="S293" s="7" t="n"/>
      <c r="T293" s="7">
        <f>IFERROR(1/H293,"")</f>
        <v/>
      </c>
      <c r="U293" s="7">
        <f>IF(OR(S293="",T293=""),"",S293-T293)</f>
        <v/>
      </c>
      <c r="V293" s="7">
        <f>IF(OR(S293="",H293=""),"",S293*H293-1)</f>
        <v/>
      </c>
      <c r="W293" s="2">
        <f>IF(E293="","",ROUND(100*(0.22*I293+0.18*J293+0.18*K293+0.10*L293+0.08*M293+0.06*N293+0.06*O293+0.04*P293+0.04*Q293+0.04*MIN(R293/10,1)),0))</f>
        <v/>
      </c>
      <c r="X293" s="2">
        <f>IF(W293="","",IF(W293&gt;=CONFIG!$B$11,"FUERTE",IF(W293&gt;=CONFIG!$B$12,"MEDIA","BAJA")))</f>
        <v/>
      </c>
      <c r="Y293" s="2">
        <f>IF(OR(H293="",S293=""),"",IF(OR(H293&lt;CONFIG!$B$2,H293&gt;CONFIG!$B$3),"NO APTO",IF(S293&lt;IF(H293&lt;1.6,CONFIG!$B$4,IF(H293&lt;1.7,CONFIG!$B$5,IF(H293&lt;1.8,CONFIG!$B$6,IF(H293&lt;2,CONFIG!$B$7,IF(H293&lt;2.2,CONFIG!$B$8,CONFIG!$B$9))))),"NO APTO",IF(V293&lt;CONFIG!$B$10,"NO APTO",IF(AND(W293&gt;=CONFIG!$B$11,R293&gt;=CONFIG!$B$13),"ALERTA FUERTE",IF(AND(W293&gt;=CONFIG!$B$12,R293&gt;=CONFIG!$B$13),"ALERTA MEDIA","NO APTO"))))))</f>
        <v/>
      </c>
      <c r="Z293" s="2">
        <f>IF(Y293="","",IF(Y293="NO APTO","Revisar cuota/probabilidad/EV/puntuación/muestra",IF(Y293="ALERTA FUERTE","Cumple filtros de cuota + probabilidad + EV + confianza + muestra","Cumple filtros, pero confianza inferior a FUERTE")))</f>
        <v/>
      </c>
    </row>
    <row r="294">
      <c r="A294" s="2">
        <f>IF(E294="","",ROW()-1)</f>
        <v/>
      </c>
      <c r="B294" s="2" t="inlineStr">
        <is>
          <t>2026-08-19</t>
        </is>
      </c>
      <c r="C294" s="2" t="inlineStr">
        <is>
          <t>14:00</t>
        </is>
      </c>
      <c r="D294" s="2" t="inlineStr">
        <is>
          <t>UEFA Champions League</t>
        </is>
      </c>
      <c r="E294" s="2" t="inlineStr">
        <is>
          <t>Celtic vs Lask Linz</t>
        </is>
      </c>
      <c r="F294" s="2" t="inlineStr">
        <is>
          <t>PENDIENTE</t>
        </is>
      </c>
      <c r="G294" s="2" t="inlineStr">
        <is>
          <t>SELECCIONAR MERCADO</t>
        </is>
      </c>
      <c r="H294" s="6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2" t="n"/>
      <c r="S294" s="7" t="n"/>
      <c r="T294" s="7">
        <f>IFERROR(1/H294,"")</f>
        <v/>
      </c>
      <c r="U294" s="7">
        <f>IF(OR(S294="",T294=""),"",S294-T294)</f>
        <v/>
      </c>
      <c r="V294" s="7">
        <f>IF(OR(S294="",H294=""),"",S294*H294-1)</f>
        <v/>
      </c>
      <c r="W294" s="2">
        <f>IF(E294="","",ROUND(100*(0.22*I294+0.18*J294+0.18*K294+0.10*L294+0.08*M294+0.06*N294+0.06*O294+0.04*P294+0.04*Q294+0.04*MIN(R294/10,1)),0))</f>
        <v/>
      </c>
      <c r="X294" s="2">
        <f>IF(W294="","",IF(W294&gt;=CONFIG!$B$11,"FUERTE",IF(W294&gt;=CONFIG!$B$12,"MEDIA","BAJA")))</f>
        <v/>
      </c>
      <c r="Y294" s="2">
        <f>IF(OR(H294="",S294=""),"",IF(OR(H294&lt;CONFIG!$B$2,H294&gt;CONFIG!$B$3),"NO APTO",IF(S294&lt;IF(H294&lt;1.6,CONFIG!$B$4,IF(H294&lt;1.7,CONFIG!$B$5,IF(H294&lt;1.8,CONFIG!$B$6,IF(H294&lt;2,CONFIG!$B$7,IF(H294&lt;2.2,CONFIG!$B$8,CONFIG!$B$9))))),"NO APTO",IF(V294&lt;CONFIG!$B$10,"NO APTO",IF(AND(W294&gt;=CONFIG!$B$11,R294&gt;=CONFIG!$B$13),"ALERTA FUERTE",IF(AND(W294&gt;=CONFIG!$B$12,R294&gt;=CONFIG!$B$13),"ALERTA MEDIA","NO APTO"))))))</f>
        <v/>
      </c>
      <c r="Z294" s="2">
        <f>IF(Y294="","",IF(Y294="NO APTO","Revisar cuota/probabilidad/EV/puntuación/muestra",IF(Y294="ALERTA FUERTE","Cumple filtros de cuota + probabilidad + EV + confianza + muestra","Cumple filtros, pero confianza inferior a FUERTE")))</f>
        <v/>
      </c>
    </row>
    <row r="295">
      <c r="A295" s="2">
        <f>IF(E295="","",ROW()-1)</f>
        <v/>
      </c>
      <c r="B295" s="2" t="inlineStr">
        <is>
          <t>2026-08-19</t>
        </is>
      </c>
      <c r="C295" s="2" t="inlineStr">
        <is>
          <t>14:00</t>
        </is>
      </c>
      <c r="D295" s="2" t="inlineStr">
        <is>
          <t>Copa de la División Profesional</t>
        </is>
      </c>
      <c r="E295" s="2" t="inlineStr">
        <is>
          <t>ABB vs Real Potosí</t>
        </is>
      </c>
      <c r="F295" s="2" t="inlineStr">
        <is>
          <t>PENDIENTE</t>
        </is>
      </c>
      <c r="G295" s="2" t="inlineStr">
        <is>
          <t>SELECCIONAR MERCADO</t>
        </is>
      </c>
      <c r="H295" s="6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2" t="n"/>
      <c r="S295" s="7" t="n"/>
      <c r="T295" s="7">
        <f>IFERROR(1/H295,"")</f>
        <v/>
      </c>
      <c r="U295" s="7">
        <f>IF(OR(S295="",T295=""),"",S295-T295)</f>
        <v/>
      </c>
      <c r="V295" s="7">
        <f>IF(OR(S295="",H295=""),"",S295*H295-1)</f>
        <v/>
      </c>
      <c r="W295" s="2">
        <f>IF(E295="","",ROUND(100*(0.22*I295+0.18*J295+0.18*K295+0.10*L295+0.08*M295+0.06*N295+0.06*O295+0.04*P295+0.04*Q295+0.04*MIN(R295/10,1)),0))</f>
        <v/>
      </c>
      <c r="X295" s="2">
        <f>IF(W295="","",IF(W295&gt;=CONFIG!$B$11,"FUERTE",IF(W295&gt;=CONFIG!$B$12,"MEDIA","BAJA")))</f>
        <v/>
      </c>
      <c r="Y295" s="2">
        <f>IF(OR(H295="",S295=""),"",IF(OR(H295&lt;CONFIG!$B$2,H295&gt;CONFIG!$B$3),"NO APTO",IF(S295&lt;IF(H295&lt;1.6,CONFIG!$B$4,IF(H295&lt;1.7,CONFIG!$B$5,IF(H295&lt;1.8,CONFIG!$B$6,IF(H295&lt;2,CONFIG!$B$7,IF(H295&lt;2.2,CONFIG!$B$8,CONFIG!$B$9))))),"NO APTO",IF(V295&lt;CONFIG!$B$10,"NO APTO",IF(AND(W295&gt;=CONFIG!$B$11,R295&gt;=CONFIG!$B$13),"ALERTA FUERTE",IF(AND(W295&gt;=CONFIG!$B$12,R295&gt;=CONFIG!$B$13),"ALERTA MEDIA","NO APTO"))))))</f>
        <v/>
      </c>
      <c r="Z295" s="2">
        <f>IF(Y295="","",IF(Y295="NO APTO","Revisar cuota/probabilidad/EV/puntuación/muestra",IF(Y295="ALERTA FUERTE","Cumple filtros de cuota + probabilidad + EV + confianza + muestra","Cumple filtros, pero confianza inferior a FUERTE")))</f>
        <v/>
      </c>
    </row>
    <row r="296">
      <c r="A296" s="2">
        <f>IF(E296="","",ROW()-1)</f>
        <v/>
      </c>
      <c r="B296" s="2" t="inlineStr">
        <is>
          <t>2026-08-19</t>
        </is>
      </c>
      <c r="C296" s="2" t="inlineStr">
        <is>
          <t>14:00</t>
        </is>
      </c>
      <c r="D296" s="2" t="inlineStr">
        <is>
          <t>UEFA Champions League</t>
        </is>
      </c>
      <c r="E296" s="2" t="inlineStr">
        <is>
          <t>Hapoel Beer Sheva vs Sabah FA</t>
        </is>
      </c>
      <c r="F296" s="2" t="inlineStr">
        <is>
          <t>PENDIENTE</t>
        </is>
      </c>
      <c r="G296" s="2" t="inlineStr">
        <is>
          <t>SELECCIONAR MERCADO</t>
        </is>
      </c>
      <c r="H296" s="6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2" t="n"/>
      <c r="S296" s="7" t="n"/>
      <c r="T296" s="7">
        <f>IFERROR(1/H296,"")</f>
        <v/>
      </c>
      <c r="U296" s="7">
        <f>IF(OR(S296="",T296=""),"",S296-T296)</f>
        <v/>
      </c>
      <c r="V296" s="7">
        <f>IF(OR(S296="",H296=""),"",S296*H296-1)</f>
        <v/>
      </c>
      <c r="W296" s="2">
        <f>IF(E296="","",ROUND(100*(0.22*I296+0.18*J296+0.18*K296+0.10*L296+0.08*M296+0.06*N296+0.06*O296+0.04*P296+0.04*Q296+0.04*MIN(R296/10,1)),0))</f>
        <v/>
      </c>
      <c r="X296" s="2">
        <f>IF(W296="","",IF(W296&gt;=CONFIG!$B$11,"FUERTE",IF(W296&gt;=CONFIG!$B$12,"MEDIA","BAJA")))</f>
        <v/>
      </c>
      <c r="Y296" s="2">
        <f>IF(OR(H296="",S296=""),"",IF(OR(H296&lt;CONFIG!$B$2,H296&gt;CONFIG!$B$3),"NO APTO",IF(S296&lt;IF(H296&lt;1.6,CONFIG!$B$4,IF(H296&lt;1.7,CONFIG!$B$5,IF(H296&lt;1.8,CONFIG!$B$6,IF(H296&lt;2,CONFIG!$B$7,IF(H296&lt;2.2,CONFIG!$B$8,CONFIG!$B$9))))),"NO APTO",IF(V296&lt;CONFIG!$B$10,"NO APTO",IF(AND(W296&gt;=CONFIG!$B$11,R296&gt;=CONFIG!$B$13),"ALERTA FUERTE",IF(AND(W296&gt;=CONFIG!$B$12,R296&gt;=CONFIG!$B$13),"ALERTA MEDIA","NO APTO"))))))</f>
        <v/>
      </c>
      <c r="Z296" s="2">
        <f>IF(Y296="","",IF(Y296="NO APTO","Revisar cuota/probabilidad/EV/puntuación/muestra",IF(Y296="ALERTA FUERTE","Cumple filtros de cuota + probabilidad + EV + confianza + muestra","Cumple filtros, pero confianza inferior a FUERTE")))</f>
        <v/>
      </c>
    </row>
    <row r="297">
      <c r="A297" s="2">
        <f>IF(E297="","",ROW()-1)</f>
        <v/>
      </c>
      <c r="B297" s="2" t="inlineStr">
        <is>
          <t>2026-08-19</t>
        </is>
      </c>
      <c r="C297" s="2" t="inlineStr">
        <is>
          <t>14:00</t>
        </is>
      </c>
      <c r="D297" s="2" t="inlineStr">
        <is>
          <t>UEFA Champions League</t>
        </is>
      </c>
      <c r="E297" s="2" t="inlineStr">
        <is>
          <t>NEC Nijmegen vs Bodo/Glimt</t>
        </is>
      </c>
      <c r="F297" s="2" t="inlineStr">
        <is>
          <t>PENDIENTE</t>
        </is>
      </c>
      <c r="G297" s="2" t="inlineStr">
        <is>
          <t>SELECCIONAR MERCADO</t>
        </is>
      </c>
      <c r="H297" s="6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2" t="n"/>
      <c r="S297" s="7" t="n"/>
      <c r="T297" s="7">
        <f>IFERROR(1/H297,"")</f>
        <v/>
      </c>
      <c r="U297" s="7">
        <f>IF(OR(S297="",T297=""),"",S297-T297)</f>
        <v/>
      </c>
      <c r="V297" s="7">
        <f>IF(OR(S297="",H297=""),"",S297*H297-1)</f>
        <v/>
      </c>
      <c r="W297" s="2">
        <f>IF(E297="","",ROUND(100*(0.22*I297+0.18*J297+0.18*K297+0.10*L297+0.08*M297+0.06*N297+0.06*O297+0.04*P297+0.04*Q297+0.04*MIN(R297/10,1)),0))</f>
        <v/>
      </c>
      <c r="X297" s="2">
        <f>IF(W297="","",IF(W297&gt;=CONFIG!$B$11,"FUERTE",IF(W297&gt;=CONFIG!$B$12,"MEDIA","BAJA")))</f>
        <v/>
      </c>
      <c r="Y297" s="2">
        <f>IF(OR(H297="",S297=""),"",IF(OR(H297&lt;CONFIG!$B$2,H297&gt;CONFIG!$B$3),"NO APTO",IF(S297&lt;IF(H297&lt;1.6,CONFIG!$B$4,IF(H297&lt;1.7,CONFIG!$B$5,IF(H297&lt;1.8,CONFIG!$B$6,IF(H297&lt;2,CONFIG!$B$7,IF(H297&lt;2.2,CONFIG!$B$8,CONFIG!$B$9))))),"NO APTO",IF(V297&lt;CONFIG!$B$10,"NO APTO",IF(AND(W297&gt;=CONFIG!$B$11,R297&gt;=CONFIG!$B$13),"ALERTA FUERTE",IF(AND(W297&gt;=CONFIG!$B$12,R297&gt;=CONFIG!$B$13),"ALERTA MEDIA","NO APTO"))))))</f>
        <v/>
      </c>
      <c r="Z297" s="2">
        <f>IF(Y297="","",IF(Y297="NO APTO","Revisar cuota/probabilidad/EV/puntuación/muestra",IF(Y297="ALERTA FUERTE","Cumple filtros de cuota + probabilidad + EV + confianza + muestra","Cumple filtros, pero confianza inferior a FUERTE")))</f>
        <v/>
      </c>
    </row>
    <row r="298">
      <c r="A298" s="2">
        <f>IF(E298="","",ROW()-1)</f>
        <v/>
      </c>
      <c r="B298" s="2" t="inlineStr">
        <is>
          <t>2026-08-19</t>
        </is>
      </c>
      <c r="C298" s="2" t="inlineStr">
        <is>
          <t>14:00</t>
        </is>
      </c>
      <c r="D298" s="2" t="inlineStr">
        <is>
          <t>UEFA Champions League</t>
        </is>
      </c>
      <c r="E298" s="2" t="inlineStr">
        <is>
          <t>Slovan Bratislava vs Celje</t>
        </is>
      </c>
      <c r="F298" s="2" t="inlineStr">
        <is>
          <t>PENDIENTE</t>
        </is>
      </c>
      <c r="G298" s="2" t="inlineStr">
        <is>
          <t>SELECCIONAR MERCADO</t>
        </is>
      </c>
      <c r="H298" s="6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2" t="n"/>
      <c r="S298" s="7" t="n"/>
      <c r="T298" s="7">
        <f>IFERROR(1/H298,"")</f>
        <v/>
      </c>
      <c r="U298" s="7">
        <f>IF(OR(S298="",T298=""),"",S298-T298)</f>
        <v/>
      </c>
      <c r="V298" s="7">
        <f>IF(OR(S298="",H298=""),"",S298*H298-1)</f>
        <v/>
      </c>
      <c r="W298" s="2">
        <f>IF(E298="","",ROUND(100*(0.22*I298+0.18*J298+0.18*K298+0.10*L298+0.08*M298+0.06*N298+0.06*O298+0.04*P298+0.04*Q298+0.04*MIN(R298/10,1)),0))</f>
        <v/>
      </c>
      <c r="X298" s="2">
        <f>IF(W298="","",IF(W298&gt;=CONFIG!$B$11,"FUERTE",IF(W298&gt;=CONFIG!$B$12,"MEDIA","BAJA")))</f>
        <v/>
      </c>
      <c r="Y298" s="2">
        <f>IF(OR(H298="",S298=""),"",IF(OR(H298&lt;CONFIG!$B$2,H298&gt;CONFIG!$B$3),"NO APTO",IF(S298&lt;IF(H298&lt;1.6,CONFIG!$B$4,IF(H298&lt;1.7,CONFIG!$B$5,IF(H298&lt;1.8,CONFIG!$B$6,IF(H298&lt;2,CONFIG!$B$7,IF(H298&lt;2.2,CONFIG!$B$8,CONFIG!$B$9))))),"NO APTO",IF(V298&lt;CONFIG!$B$10,"NO APTO",IF(AND(W298&gt;=CONFIG!$B$11,R298&gt;=CONFIG!$B$13),"ALERTA FUERTE",IF(AND(W298&gt;=CONFIG!$B$12,R298&gt;=CONFIG!$B$13),"ALERTA MEDIA","NO APTO"))))))</f>
        <v/>
      </c>
      <c r="Z298" s="2">
        <f>IF(Y298="","",IF(Y298="NO APTO","Revisar cuota/probabilidad/EV/puntuación/muestra",IF(Y298="ALERTA FUERTE","Cumple filtros de cuota + probabilidad + EV + confianza + muestra","Cumple filtros, pero confianza inferior a FUERTE")))</f>
        <v/>
      </c>
    </row>
    <row r="299">
      <c r="A299" s="2">
        <f>IF(E299="","",ROW()-1)</f>
        <v/>
      </c>
      <c r="B299" s="2" t="inlineStr">
        <is>
          <t>2026-08-19</t>
        </is>
      </c>
      <c r="C299" s="2" t="inlineStr">
        <is>
          <t>14:30</t>
        </is>
      </c>
      <c r="D299" s="2" t="inlineStr">
        <is>
          <t>Copa Venezuela</t>
        </is>
      </c>
      <c r="E299" s="2" t="inlineStr">
        <is>
          <t>Club Atletico Barinas vs Zamora FC</t>
        </is>
      </c>
      <c r="F299" s="2" t="inlineStr">
        <is>
          <t>PENDIENTE</t>
        </is>
      </c>
      <c r="G299" s="2" t="inlineStr">
        <is>
          <t>SELECCIONAR MERCADO</t>
        </is>
      </c>
      <c r="H299" s="6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2" t="n"/>
      <c r="S299" s="7" t="n"/>
      <c r="T299" s="7">
        <f>IFERROR(1/H299,"")</f>
        <v/>
      </c>
      <c r="U299" s="7">
        <f>IF(OR(S299="",T299=""),"",S299-T299)</f>
        <v/>
      </c>
      <c r="V299" s="7">
        <f>IF(OR(S299="",H299=""),"",S299*H299-1)</f>
        <v/>
      </c>
      <c r="W299" s="2">
        <f>IF(E299="","",ROUND(100*(0.22*I299+0.18*J299+0.18*K299+0.10*L299+0.08*M299+0.06*N299+0.06*O299+0.04*P299+0.04*Q299+0.04*MIN(R299/10,1)),0))</f>
        <v/>
      </c>
      <c r="X299" s="2">
        <f>IF(W299="","",IF(W299&gt;=CONFIG!$B$11,"FUERTE",IF(W299&gt;=CONFIG!$B$12,"MEDIA","BAJA")))</f>
        <v/>
      </c>
      <c r="Y299" s="2">
        <f>IF(OR(H299="",S299=""),"",IF(OR(H299&lt;CONFIG!$B$2,H299&gt;CONFIG!$B$3),"NO APTO",IF(S299&lt;IF(H299&lt;1.6,CONFIG!$B$4,IF(H299&lt;1.7,CONFIG!$B$5,IF(H299&lt;1.8,CONFIG!$B$6,IF(H299&lt;2,CONFIG!$B$7,IF(H299&lt;2.2,CONFIG!$B$8,CONFIG!$B$9))))),"NO APTO",IF(V299&lt;CONFIG!$B$10,"NO APTO",IF(AND(W299&gt;=CONFIG!$B$11,R299&gt;=CONFIG!$B$13),"ALERTA FUERTE",IF(AND(W299&gt;=CONFIG!$B$12,R299&gt;=CONFIG!$B$13),"ALERTA MEDIA","NO APTO"))))))</f>
        <v/>
      </c>
      <c r="Z299" s="2">
        <f>IF(Y299="","",IF(Y299="NO APTO","Revisar cuota/probabilidad/EV/puntuación/muestra",IF(Y299="ALERTA FUERTE","Cumple filtros de cuota + probabilidad + EV + confianza + muestra","Cumple filtros, pero confianza inferior a FUERTE")))</f>
        <v/>
      </c>
    </row>
    <row r="300">
      <c r="A300" s="2">
        <f>IF(E300="","",ROW()-1)</f>
        <v/>
      </c>
      <c r="B300" s="2" t="inlineStr">
        <is>
          <t>2026-08-19</t>
        </is>
      </c>
      <c r="C300" s="2" t="inlineStr">
        <is>
          <t>14:30</t>
        </is>
      </c>
      <c r="D300" s="2" t="inlineStr">
        <is>
          <t>Copa Venezuela</t>
        </is>
      </c>
      <c r="E300" s="2" t="inlineStr">
        <is>
          <t>Bolívar vs Dinamo de Puerto La Cruz</t>
        </is>
      </c>
      <c r="F300" s="2" t="inlineStr">
        <is>
          <t>PENDIENTE</t>
        </is>
      </c>
      <c r="G300" s="2" t="inlineStr">
        <is>
          <t>SELECCIONAR MERCADO</t>
        </is>
      </c>
      <c r="H300" s="6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2" t="n"/>
      <c r="S300" s="7" t="n"/>
      <c r="T300" s="7">
        <f>IFERROR(1/H300,"")</f>
        <v/>
      </c>
      <c r="U300" s="7">
        <f>IF(OR(S300="",T300=""),"",S300-T300)</f>
        <v/>
      </c>
      <c r="V300" s="7">
        <f>IF(OR(S300="",H300=""),"",S300*H300-1)</f>
        <v/>
      </c>
      <c r="W300" s="2">
        <f>IF(E300="","",ROUND(100*(0.22*I300+0.18*J300+0.18*K300+0.10*L300+0.08*M300+0.06*N300+0.06*O300+0.04*P300+0.04*Q300+0.04*MIN(R300/10,1)),0))</f>
        <v/>
      </c>
      <c r="X300" s="2">
        <f>IF(W300="","",IF(W300&gt;=CONFIG!$B$11,"FUERTE",IF(W300&gt;=CONFIG!$B$12,"MEDIA","BAJA")))</f>
        <v/>
      </c>
      <c r="Y300" s="2">
        <f>IF(OR(H300="",S300=""),"",IF(OR(H300&lt;CONFIG!$B$2,H300&gt;CONFIG!$B$3),"NO APTO",IF(S300&lt;IF(H300&lt;1.6,CONFIG!$B$4,IF(H300&lt;1.7,CONFIG!$B$5,IF(H300&lt;1.8,CONFIG!$B$6,IF(H300&lt;2,CONFIG!$B$7,IF(H300&lt;2.2,CONFIG!$B$8,CONFIG!$B$9))))),"NO APTO",IF(V300&lt;CONFIG!$B$10,"NO APTO",IF(AND(W300&gt;=CONFIG!$B$11,R300&gt;=CONFIG!$B$13),"ALERTA FUERTE",IF(AND(W300&gt;=CONFIG!$B$12,R300&gt;=CONFIG!$B$13),"ALERTA MEDIA","NO APTO"))))))</f>
        <v/>
      </c>
      <c r="Z300" s="2">
        <f>IF(Y300="","",IF(Y300="NO APTO","Revisar cuota/probabilidad/EV/puntuación/muestra",IF(Y300="ALERTA FUERTE","Cumple filtros de cuota + probabilidad + EV + confianza + muestra","Cumple filtros, pero confianza inferior a FUERTE")))</f>
        <v/>
      </c>
    </row>
    <row r="301">
      <c r="A301" s="2">
        <f>IF(E301="","",ROW()-1)</f>
        <v/>
      </c>
      <c r="B301" s="2" t="inlineStr">
        <is>
          <t>2026-08-19</t>
        </is>
      </c>
      <c r="C301" s="2" t="inlineStr">
        <is>
          <t>14:30</t>
        </is>
      </c>
      <c r="D301" s="2" t="inlineStr">
        <is>
          <t>Copa Venezuela</t>
        </is>
      </c>
      <c r="E301" s="2" t="inlineStr">
        <is>
          <t>Atletico el Vigia FC vs Real Frontera</t>
        </is>
      </c>
      <c r="F301" s="2" t="inlineStr">
        <is>
          <t>PENDIENTE</t>
        </is>
      </c>
      <c r="G301" s="2" t="inlineStr">
        <is>
          <t>SELECCIONAR MERCADO</t>
        </is>
      </c>
      <c r="H301" s="6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2" t="n"/>
      <c r="S301" s="7" t="n"/>
      <c r="T301" s="7">
        <f>IFERROR(1/H301,"")</f>
        <v/>
      </c>
      <c r="U301" s="7">
        <f>IF(OR(S301="",T301=""),"",S301-T301)</f>
        <v/>
      </c>
      <c r="V301" s="7">
        <f>IF(OR(S301="",H301=""),"",S301*H301-1)</f>
        <v/>
      </c>
      <c r="W301" s="2">
        <f>IF(E301="","",ROUND(100*(0.22*I301+0.18*J301+0.18*K301+0.10*L301+0.08*M301+0.06*N301+0.06*O301+0.04*P301+0.04*Q301+0.04*MIN(R301/10,1)),0))</f>
        <v/>
      </c>
      <c r="X301" s="2">
        <f>IF(W301="","",IF(W301&gt;=CONFIG!$B$11,"FUERTE",IF(W301&gt;=CONFIG!$B$12,"MEDIA","BAJA")))</f>
        <v/>
      </c>
      <c r="Y301" s="2">
        <f>IF(OR(H301="",S301=""),"",IF(OR(H301&lt;CONFIG!$B$2,H301&gt;CONFIG!$B$3),"NO APTO",IF(S301&lt;IF(H301&lt;1.6,CONFIG!$B$4,IF(H301&lt;1.7,CONFIG!$B$5,IF(H301&lt;1.8,CONFIG!$B$6,IF(H301&lt;2,CONFIG!$B$7,IF(H301&lt;2.2,CONFIG!$B$8,CONFIG!$B$9))))),"NO APTO",IF(V301&lt;CONFIG!$B$10,"NO APTO",IF(AND(W301&gt;=CONFIG!$B$11,R301&gt;=CONFIG!$B$13),"ALERTA FUERTE",IF(AND(W301&gt;=CONFIG!$B$12,R301&gt;=CONFIG!$B$13),"ALERTA MEDIA","NO APTO"))))))</f>
        <v/>
      </c>
      <c r="Z301" s="2">
        <f>IF(Y301="","",IF(Y301="NO APTO","Revisar cuota/probabilidad/EV/puntuación/muestra",IF(Y301="ALERTA FUERTE","Cumple filtros de cuota + probabilidad + EV + confianza + muestra","Cumple filtros, pero confianza inferior a FUERTE")))</f>
        <v/>
      </c>
    </row>
  </sheetData>
  <autoFilter ref="A1:Z301"/>
  <conditionalFormatting sqref="Y2:Y301">
    <cfRule type="expression" priority="1" dxfId="0">
      <formula>Y2="ALERTA FUERTE"</formula>
    </cfRule>
    <cfRule type="expression" priority="2" dxfId="1">
      <formula>Y2="ALERTA MEDIA"</formula>
    </cfRule>
    <cfRule type="expression" priority="3" dxfId="2">
      <formula>Y2="NO APTO"</formula>
    </cfRule>
  </conditionalFormatting>
  <dataValidations count="2">
    <dataValidation sqref="I2:I301 J2:J301 K2:K301 L2:L301 M2:M301 N2:N301 O2:O301 P2:P301 Q2:Q301" showDropDown="0" showInputMessage="0" showErrorMessage="0" allowBlank="1" errorTitle="Dato inválido" error="Use un valor entre 0 y 1" type="decimal" operator="between">
      <formula1>0</formula1>
      <formula2>1</formula2>
    </dataValidation>
    <dataValidation sqref="S2:S301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5" customWidth="1" min="4" max="4"/>
    <col width="25" customWidth="1" min="5" max="5"/>
    <col width="15" customWidth="1" min="6" max="6"/>
    <col width="14" customWidth="1" min="7" max="7"/>
    <col width="14" customWidth="1" min="8" max="8"/>
    <col width="16" customWidth="1" min="9" max="9"/>
    <col width="16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35" customWidth="1" min="16" max="16"/>
  </cols>
  <sheetData>
    <row r="1">
      <c r="A1" s="8" t="inlineStr">
        <is>
          <t>FECHA</t>
        </is>
      </c>
      <c r="B1" s="8" t="inlineStr">
        <is>
          <t>LIGA</t>
        </is>
      </c>
      <c r="C1" s="8" t="inlineStr">
        <is>
          <t>EQUIPO</t>
        </is>
      </c>
      <c r="D1" s="8" t="inlineStr">
        <is>
          <t>CONDICIÓN</t>
        </is>
      </c>
      <c r="E1" s="8" t="inlineStr">
        <is>
          <t>RIVAL</t>
        </is>
      </c>
      <c r="F1" s="8" t="inlineStr">
        <is>
          <t>PARTIDOS_MUESTRA</t>
        </is>
      </c>
      <c r="G1" s="8" t="inlineStr">
        <is>
          <t>GOLES_FAVOR</t>
        </is>
      </c>
      <c r="H1" s="8" t="inlineStr">
        <is>
          <t>GOLES_CONTRA</t>
        </is>
      </c>
      <c r="I1" s="8" t="inlineStr">
        <is>
          <t>CORNERS_FAVOR</t>
        </is>
      </c>
      <c r="J1" s="8" t="inlineStr">
        <is>
          <t>CORNERS_CONTRA</t>
        </is>
      </c>
      <c r="K1" s="8" t="inlineStr">
        <is>
          <t>TIROS</t>
        </is>
      </c>
      <c r="L1" s="8" t="inlineStr">
        <is>
          <t>TIROS_ARCO</t>
        </is>
      </c>
      <c r="M1" s="8" t="inlineStr">
        <is>
          <t>FALTAS</t>
        </is>
      </c>
      <c r="N1" s="8" t="inlineStr">
        <is>
          <t>TARJETAS</t>
        </is>
      </c>
      <c r="O1" s="8" t="inlineStr">
        <is>
          <t>PASES</t>
        </is>
      </c>
      <c r="P1" s="8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t="inlineStr">
        <is>
          <t>2026-08-19</t>
        </is>
      </c>
      <c r="B502" t="inlineStr">
        <is>
          <t>OFC Champions League</t>
        </is>
      </c>
      <c r="C502" t="inlineStr">
        <is>
          <t>ABM Galaxy</t>
        </is>
      </c>
      <c r="D502" t="inlineStr">
        <is>
          <t>LOCAL</t>
        </is>
      </c>
      <c r="E502" t="inlineStr">
        <is>
          <t>Central Coast</t>
        </is>
      </c>
      <c r="P502" t="inlineStr">
        <is>
          <t>fixture_id=1628931</t>
        </is>
      </c>
    </row>
    <row r="503">
      <c r="A503" t="inlineStr">
        <is>
          <t>2026-08-19</t>
        </is>
      </c>
      <c r="B503" t="inlineStr">
        <is>
          <t>U19 League</t>
        </is>
      </c>
      <c r="C503" t="inlineStr">
        <is>
          <t>LNZ Cherkasy U19</t>
        </is>
      </c>
      <c r="D503" t="inlineStr">
        <is>
          <t>LOCAL</t>
        </is>
      </c>
      <c r="E503" t="inlineStr">
        <is>
          <t>Lviv U19</t>
        </is>
      </c>
      <c r="P503" t="inlineStr">
        <is>
          <t>fixture_id=1611866</t>
        </is>
      </c>
    </row>
    <row r="504">
      <c r="A504" t="inlineStr">
        <is>
          <t>2026-08-19</t>
        </is>
      </c>
      <c r="B504" t="inlineStr">
        <is>
          <t>Emperor Cup</t>
        </is>
      </c>
      <c r="C504" t="inlineStr">
        <is>
          <t>Arterivo Wakayama</t>
        </is>
      </c>
      <c r="D504" t="inlineStr">
        <is>
          <t>LOCAL</t>
        </is>
      </c>
      <c r="E504" t="inlineStr">
        <is>
          <t>Azul Claro Numazu</t>
        </is>
      </c>
      <c r="P504" t="inlineStr">
        <is>
          <t>fixture_id=1623316</t>
        </is>
      </c>
    </row>
    <row r="505">
      <c r="A505" t="inlineStr">
        <is>
          <t>2026-08-19</t>
        </is>
      </c>
      <c r="B505" t="inlineStr">
        <is>
          <t>Friendlies Clubs</t>
        </is>
      </c>
      <c r="C505" t="inlineStr">
        <is>
          <t>Dong Thap</t>
        </is>
      </c>
      <c r="D505" t="inlineStr">
        <is>
          <t>LOCAL</t>
        </is>
      </c>
      <c r="E505" t="inlineStr">
        <is>
          <t>Ho Chi Minh</t>
        </is>
      </c>
      <c r="P505" t="inlineStr">
        <is>
          <t>fixture_id=1629011</t>
        </is>
      </c>
    </row>
    <row r="506">
      <c r="A506" t="inlineStr">
        <is>
          <t>2026-08-19</t>
        </is>
      </c>
      <c r="B506" t="inlineStr">
        <is>
          <t>Friendlies Clubs</t>
        </is>
      </c>
      <c r="C506" t="inlineStr">
        <is>
          <t>Elche II</t>
        </is>
      </c>
      <c r="D506" t="inlineStr">
        <is>
          <t>LOCAL</t>
        </is>
      </c>
      <c r="E506" t="inlineStr">
        <is>
          <t>FC Cartagena</t>
        </is>
      </c>
      <c r="P506" t="inlineStr">
        <is>
          <t>fixture_id=1629012</t>
        </is>
      </c>
    </row>
    <row r="507">
      <c r="A507" t="inlineStr">
        <is>
          <t>2026-08-19</t>
        </is>
      </c>
      <c r="B507" t="inlineStr">
        <is>
          <t>NB III - Southeast</t>
        </is>
      </c>
      <c r="C507" t="inlineStr">
        <is>
          <t>Vasas II</t>
        </is>
      </c>
      <c r="D507" t="inlineStr">
        <is>
          <t>LOCAL</t>
        </is>
      </c>
      <c r="E507" t="inlineStr">
        <is>
          <t>Honvéd II</t>
        </is>
      </c>
      <c r="P507" t="inlineStr">
        <is>
          <t>fixture_id=1594331</t>
        </is>
      </c>
    </row>
    <row r="508">
      <c r="A508" t="inlineStr">
        <is>
          <t>2026-08-19</t>
        </is>
      </c>
      <c r="B508" t="inlineStr">
        <is>
          <t>U19 Bundesliga</t>
        </is>
      </c>
      <c r="C508" t="inlineStr">
        <is>
          <t>Dynamo Dresden U19</t>
        </is>
      </c>
      <c r="D508" t="inlineStr">
        <is>
          <t>LOCAL</t>
        </is>
      </c>
      <c r="E508" t="inlineStr">
        <is>
          <t>Eintracht Frankf U19</t>
        </is>
      </c>
      <c r="P508" t="inlineStr">
        <is>
          <t>fixture_id=1595541</t>
        </is>
      </c>
    </row>
    <row r="509">
      <c r="A509" t="inlineStr">
        <is>
          <t>2026-08-19</t>
        </is>
      </c>
      <c r="B509" t="inlineStr">
        <is>
          <t>U19 League</t>
        </is>
      </c>
      <c r="C509" t="inlineStr">
        <is>
          <t>Dynamo Kyiv U19</t>
        </is>
      </c>
      <c r="D509" t="inlineStr">
        <is>
          <t>LOCAL</t>
        </is>
      </c>
      <c r="E509" t="inlineStr">
        <is>
          <t>SK Metalurh U19</t>
        </is>
      </c>
      <c r="P509" t="inlineStr">
        <is>
          <t>fixture_id=1611865</t>
        </is>
      </c>
    </row>
    <row r="510">
      <c r="A510" t="inlineStr">
        <is>
          <t>2026-08-19</t>
        </is>
      </c>
      <c r="B510" t="inlineStr">
        <is>
          <t>Emperor Cup</t>
        </is>
      </c>
      <c r="C510" t="inlineStr">
        <is>
          <t>Beluga Rosso Iwami</t>
        </is>
      </c>
      <c r="D510" t="inlineStr">
        <is>
          <t>LOCAL</t>
        </is>
      </c>
      <c r="E510" t="inlineStr">
        <is>
          <t>Nagasaki Intl University</t>
        </is>
      </c>
      <c r="P510" t="inlineStr">
        <is>
          <t>fixture_id=1623317</t>
        </is>
      </c>
    </row>
    <row r="511">
      <c r="A511" t="inlineStr">
        <is>
          <t>2026-08-19</t>
        </is>
      </c>
      <c r="B511" t="inlineStr">
        <is>
          <t>Emperor Cup</t>
        </is>
      </c>
      <c r="C511" t="inlineStr">
        <is>
          <t>Reinmeer Aomori</t>
        </is>
      </c>
      <c r="D511" t="inlineStr">
        <is>
          <t>LOCAL</t>
        </is>
      </c>
      <c r="E511" t="inlineStr">
        <is>
          <t>Akita University</t>
        </is>
      </c>
      <c r="P511" t="inlineStr">
        <is>
          <t>fixture_id=1623318</t>
        </is>
      </c>
    </row>
    <row r="512">
      <c r="A512" t="inlineStr">
        <is>
          <t>2026-08-19</t>
        </is>
      </c>
      <c r="B512" t="inlineStr">
        <is>
          <t>Calcutta Premier Division</t>
        </is>
      </c>
      <c r="C512" t="inlineStr">
        <is>
          <t>Mohammedan</t>
        </is>
      </c>
      <c r="D512" t="inlineStr">
        <is>
          <t>LOCAL</t>
        </is>
      </c>
      <c r="E512" t="inlineStr">
        <is>
          <t>Police</t>
        </is>
      </c>
      <c r="P512" t="inlineStr">
        <is>
          <t>fixture_id=1595184</t>
        </is>
      </c>
    </row>
    <row r="513">
      <c r="A513" t="inlineStr">
        <is>
          <t>2026-08-19</t>
        </is>
      </c>
      <c r="B513" t="inlineStr">
        <is>
          <t>Friendlies Clubs</t>
        </is>
      </c>
      <c r="C513" t="inlineStr">
        <is>
          <t>RSD Alcalá</t>
        </is>
      </c>
      <c r="D513" t="inlineStr">
        <is>
          <t>LOCAL</t>
        </is>
      </c>
      <c r="E513" t="inlineStr">
        <is>
          <t>Gimnástica Segoviana</t>
        </is>
      </c>
      <c r="P513" t="inlineStr">
        <is>
          <t>fixture_id=1618947</t>
        </is>
      </c>
    </row>
    <row r="514">
      <c r="A514" t="inlineStr">
        <is>
          <t>2026-08-19</t>
        </is>
      </c>
      <c r="B514" t="inlineStr">
        <is>
          <t>Emperor Cup</t>
        </is>
      </c>
      <c r="C514" t="inlineStr">
        <is>
          <t>Suzuka Unlimited</t>
        </is>
      </c>
      <c r="D514" t="inlineStr">
        <is>
          <t>LOCAL</t>
        </is>
      </c>
      <c r="E514" t="inlineStr">
        <is>
          <t>Basara Hyogo</t>
        </is>
      </c>
      <c r="P514" t="inlineStr">
        <is>
          <t>fixture_id=1623319</t>
        </is>
      </c>
    </row>
    <row r="515">
      <c r="A515" t="inlineStr">
        <is>
          <t>2026-08-19</t>
        </is>
      </c>
      <c r="B515" t="inlineStr">
        <is>
          <t>Emperor Cup</t>
        </is>
      </c>
      <c r="C515" t="inlineStr">
        <is>
          <t>FC Tokushima</t>
        </is>
      </c>
      <c r="D515" t="inlineStr">
        <is>
          <t>LOCAL</t>
        </is>
      </c>
      <c r="E515" t="inlineStr">
        <is>
          <t>Kawasoe Club</t>
        </is>
      </c>
      <c r="P515" t="inlineStr">
        <is>
          <t>fixture_id=1623320</t>
        </is>
      </c>
    </row>
    <row r="516">
      <c r="A516" t="inlineStr">
        <is>
          <t>2026-08-19</t>
        </is>
      </c>
      <c r="B516" t="inlineStr">
        <is>
          <t>Emperor Cup</t>
        </is>
      </c>
      <c r="C516" t="inlineStr">
        <is>
          <t>FC Gifu</t>
        </is>
      </c>
      <c r="D516" t="inlineStr">
        <is>
          <t>LOCAL</t>
        </is>
      </c>
      <c r="E516" t="inlineStr">
        <is>
          <t>Toyama Shinjo</t>
        </is>
      </c>
      <c r="P516" t="inlineStr">
        <is>
          <t>fixture_id=1623321</t>
        </is>
      </c>
    </row>
    <row r="517">
      <c r="A517" t="inlineStr">
        <is>
          <t>2026-08-19</t>
        </is>
      </c>
      <c r="B517" t="inlineStr">
        <is>
          <t>Emperor Cup</t>
        </is>
      </c>
      <c r="C517" t="inlineStr">
        <is>
          <t>Grulla Morioka</t>
        </is>
      </c>
      <c r="D517" t="inlineStr">
        <is>
          <t>LOCAL</t>
        </is>
      </c>
      <c r="E517" t="inlineStr">
        <is>
          <t>Sapporo University</t>
        </is>
      </c>
      <c r="P517" t="inlineStr">
        <is>
          <t>fixture_id=1623322</t>
        </is>
      </c>
    </row>
    <row r="518">
      <c r="A518" t="inlineStr">
        <is>
          <t>2026-08-19</t>
        </is>
      </c>
      <c r="B518" t="inlineStr">
        <is>
          <t>Emperor Cup</t>
        </is>
      </c>
      <c r="C518" t="inlineStr">
        <is>
          <t>SRC Hiroshima</t>
        </is>
      </c>
      <c r="D518" t="inlineStr">
        <is>
          <t>LOCAL</t>
        </is>
      </c>
      <c r="E518" t="inlineStr">
        <is>
          <t>Maruyasu Okazaki</t>
        </is>
      </c>
      <c r="P518" t="inlineStr">
        <is>
          <t>fixture_id=1623323</t>
        </is>
      </c>
    </row>
    <row r="519">
      <c r="A519" t="inlineStr">
        <is>
          <t>2026-08-19</t>
        </is>
      </c>
      <c r="B519" t="inlineStr">
        <is>
          <t>Australia Cup</t>
        </is>
      </c>
      <c r="C519" t="inlineStr">
        <is>
          <t>APIA Leichhardt Tigers</t>
        </is>
      </c>
      <c r="D519" t="inlineStr">
        <is>
          <t>LOCAL</t>
        </is>
      </c>
      <c r="E519" t="inlineStr">
        <is>
          <t>Melbourne Victory</t>
        </is>
      </c>
      <c r="P519" t="inlineStr">
        <is>
          <t>fixture_id=1623384</t>
        </is>
      </c>
    </row>
    <row r="520">
      <c r="A520" t="inlineStr">
        <is>
          <t>2026-08-19</t>
        </is>
      </c>
      <c r="B520" t="inlineStr">
        <is>
          <t>Calcutta Premier Division</t>
        </is>
      </c>
      <c r="C520" t="inlineStr">
        <is>
          <t>Bhawanipore</t>
        </is>
      </c>
      <c r="D520" t="inlineStr">
        <is>
          <t>LOCAL</t>
        </is>
      </c>
      <c r="E520" t="inlineStr">
        <is>
          <t>BSS Sporting</t>
        </is>
      </c>
      <c r="P520" t="inlineStr">
        <is>
          <t>fixture_id=1627682</t>
        </is>
      </c>
    </row>
    <row r="521">
      <c r="A521" t="inlineStr">
        <is>
          <t>2026-08-19</t>
        </is>
      </c>
      <c r="B521" t="inlineStr">
        <is>
          <t>Calcutta Premier Division</t>
        </is>
      </c>
      <c r="C521" t="inlineStr">
        <is>
          <t>George Telegraph</t>
        </is>
      </c>
      <c r="D521" t="inlineStr">
        <is>
          <t>LOCAL</t>
        </is>
      </c>
      <c r="E521" t="inlineStr">
        <is>
          <t>Kalighat</t>
        </is>
      </c>
      <c r="P521" t="inlineStr">
        <is>
          <t>fixture_id=1627683</t>
        </is>
      </c>
    </row>
    <row r="522">
      <c r="A522" t="inlineStr">
        <is>
          <t>2026-08-19</t>
        </is>
      </c>
      <c r="B522" t="inlineStr">
        <is>
          <t>III Liga - Group 2</t>
        </is>
      </c>
      <c r="C522" t="inlineStr">
        <is>
          <t>Lech Poznań II</t>
        </is>
      </c>
      <c r="D522" t="inlineStr">
        <is>
          <t>LOCAL</t>
        </is>
      </c>
      <c r="E522" t="inlineStr">
        <is>
          <t>Lipno Stęszew</t>
        </is>
      </c>
      <c r="P522" t="inlineStr">
        <is>
          <t>fixture_id=1568752</t>
        </is>
      </c>
    </row>
    <row r="523">
      <c r="A523" t="inlineStr">
        <is>
          <t>2026-08-19</t>
        </is>
      </c>
      <c r="B523" t="inlineStr">
        <is>
          <t>FA Cup</t>
        </is>
      </c>
      <c r="C523" t="inlineStr">
        <is>
          <t>Asan Mugunghwa</t>
        </is>
      </c>
      <c r="D523" t="inlineStr">
        <is>
          <t>LOCAL</t>
        </is>
      </c>
      <c r="E523" t="inlineStr">
        <is>
          <t>Daejeon Citizen</t>
        </is>
      </c>
      <c r="P523" t="inlineStr">
        <is>
          <t>fixture_id=1607204</t>
        </is>
      </c>
    </row>
    <row r="524">
      <c r="A524" t="inlineStr">
        <is>
          <t>2026-08-19</t>
        </is>
      </c>
      <c r="B524" t="inlineStr">
        <is>
          <t>FA Cup</t>
        </is>
      </c>
      <c r="C524" t="inlineStr">
        <is>
          <t>Jeonbuk Motors</t>
        </is>
      </c>
      <c r="D524" t="inlineStr">
        <is>
          <t>LOCAL</t>
        </is>
      </c>
      <c r="E524" t="inlineStr">
        <is>
          <t>Dangjin Citizen</t>
        </is>
      </c>
      <c r="P524" t="inlineStr">
        <is>
          <t>fixture_id=1607206</t>
        </is>
      </c>
    </row>
    <row r="525">
      <c r="A525" t="inlineStr">
        <is>
          <t>2026-08-19</t>
        </is>
      </c>
      <c r="B525" t="inlineStr">
        <is>
          <t>FA Cup</t>
        </is>
      </c>
      <c r="C525" t="inlineStr">
        <is>
          <t>Gimpo Citizen</t>
        </is>
      </c>
      <c r="D525" t="inlineStr">
        <is>
          <t>LOCAL</t>
        </is>
      </c>
      <c r="E525" t="inlineStr">
        <is>
          <t>Gimcheon Sangmu FC</t>
        </is>
      </c>
      <c r="P525" t="inlineStr">
        <is>
          <t>fixture_id=1607208</t>
        </is>
      </c>
    </row>
    <row r="526">
      <c r="A526" t="inlineStr">
        <is>
          <t>2026-08-19</t>
        </is>
      </c>
      <c r="B526" t="inlineStr">
        <is>
          <t>FA Cup</t>
        </is>
      </c>
      <c r="C526" t="inlineStr">
        <is>
          <t>Pohang Steelers</t>
        </is>
      </c>
      <c r="D526" t="inlineStr">
        <is>
          <t>LOCAL</t>
        </is>
      </c>
      <c r="E526" t="inlineStr">
        <is>
          <t>Jinju Citizen</t>
        </is>
      </c>
      <c r="P526" t="inlineStr">
        <is>
          <t>fixture_id=1607209</t>
        </is>
      </c>
    </row>
    <row r="527">
      <c r="A527" t="inlineStr">
        <is>
          <t>2026-08-19</t>
        </is>
      </c>
      <c r="B527" t="inlineStr">
        <is>
          <t>FA Cup</t>
        </is>
      </c>
      <c r="C527" t="inlineStr">
        <is>
          <t>Ulsan Citizen</t>
        </is>
      </c>
      <c r="D527" t="inlineStr">
        <is>
          <t>LOCAL</t>
        </is>
      </c>
      <c r="E527" t="inlineStr">
        <is>
          <t>Gwangju FC</t>
        </is>
      </c>
      <c r="P527" t="inlineStr">
        <is>
          <t>fixture_id=1607210</t>
        </is>
      </c>
    </row>
    <row r="528">
      <c r="A528" t="inlineStr">
        <is>
          <t>2026-08-19</t>
        </is>
      </c>
      <c r="B528" t="inlineStr">
        <is>
          <t>U19 League</t>
        </is>
      </c>
      <c r="C528" t="inlineStr">
        <is>
          <t>Metalist 1925 U19</t>
        </is>
      </c>
      <c r="D528" t="inlineStr">
        <is>
          <t>LOCAL</t>
        </is>
      </c>
      <c r="E528" t="inlineStr">
        <is>
          <t>Livyi Bereh U19</t>
        </is>
      </c>
      <c r="P528" t="inlineStr">
        <is>
          <t>fixture_id=1611739</t>
        </is>
      </c>
    </row>
    <row r="529">
      <c r="A529" t="inlineStr">
        <is>
          <t>2026-08-19</t>
        </is>
      </c>
      <c r="B529" t="inlineStr">
        <is>
          <t>U19 League</t>
        </is>
      </c>
      <c r="C529" t="inlineStr">
        <is>
          <t>Veres Rivne U19</t>
        </is>
      </c>
      <c r="D529" t="inlineStr">
        <is>
          <t>LOCAL</t>
        </is>
      </c>
      <c r="E529" t="inlineStr">
        <is>
          <t>Obolon' Kyiv U19</t>
        </is>
      </c>
      <c r="P529" t="inlineStr">
        <is>
          <t>fixture_id=1611742</t>
        </is>
      </c>
    </row>
    <row r="530">
      <c r="A530" t="inlineStr">
        <is>
          <t>2026-08-19</t>
        </is>
      </c>
      <c r="B530" t="inlineStr">
        <is>
          <t>Emperor Cup</t>
        </is>
      </c>
      <c r="C530" t="inlineStr">
        <is>
          <t>Ehime FC</t>
        </is>
      </c>
      <c r="D530" t="inlineStr">
        <is>
          <t>LOCAL</t>
        </is>
      </c>
      <c r="E530" t="inlineStr">
        <is>
          <t>Pacific University</t>
        </is>
      </c>
      <c r="P530" t="inlineStr">
        <is>
          <t>fixture_id=1623324</t>
        </is>
      </c>
    </row>
    <row r="531">
      <c r="A531" t="inlineStr">
        <is>
          <t>2026-08-19</t>
        </is>
      </c>
      <c r="B531" t="inlineStr">
        <is>
          <t>Emperor Cup</t>
        </is>
      </c>
      <c r="C531" t="inlineStr">
        <is>
          <t>Fukushima United</t>
        </is>
      </c>
      <c r="D531" t="inlineStr">
        <is>
          <t>LOCAL</t>
        </is>
      </c>
      <c r="E531" t="inlineStr">
        <is>
          <t>Oyama</t>
        </is>
      </c>
      <c r="P531" t="inlineStr">
        <is>
          <t>fixture_id=1623325</t>
        </is>
      </c>
    </row>
    <row r="532">
      <c r="A532" t="inlineStr">
        <is>
          <t>2026-08-19</t>
        </is>
      </c>
      <c r="B532" t="inlineStr">
        <is>
          <t>Emperor Cup</t>
        </is>
      </c>
      <c r="C532" t="inlineStr">
        <is>
          <t>Gainare Tottori</t>
        </is>
      </c>
      <c r="D532" t="inlineStr">
        <is>
          <t>LOCAL</t>
        </is>
      </c>
      <c r="E532" t="inlineStr">
        <is>
          <t>Roasso Kumamoto</t>
        </is>
      </c>
      <c r="P532" t="inlineStr">
        <is>
          <t>fixture_id=1623326</t>
        </is>
      </c>
    </row>
    <row r="533">
      <c r="A533" t="inlineStr">
        <is>
          <t>2026-08-19</t>
        </is>
      </c>
      <c r="B533" t="inlineStr">
        <is>
          <t>Emperor Cup</t>
        </is>
      </c>
      <c r="C533" t="inlineStr">
        <is>
          <t>Kitakyushu</t>
        </is>
      </c>
      <c r="D533" t="inlineStr">
        <is>
          <t>LOCAL</t>
        </is>
      </c>
      <c r="E533" t="inlineStr">
        <is>
          <t>Okinawa SV</t>
        </is>
      </c>
      <c r="P533" t="inlineStr">
        <is>
          <t>fixture_id=1623327</t>
        </is>
      </c>
    </row>
    <row r="534">
      <c r="A534" t="inlineStr">
        <is>
          <t>2026-08-19</t>
        </is>
      </c>
      <c r="B534" t="inlineStr">
        <is>
          <t>Emperor Cup</t>
        </is>
      </c>
      <c r="C534" t="inlineStr">
        <is>
          <t>Kagoshima United</t>
        </is>
      </c>
      <c r="D534" t="inlineStr">
        <is>
          <t>LOCAL</t>
        </is>
      </c>
      <c r="E534" t="inlineStr">
        <is>
          <t>Renofa Yamaguchi</t>
        </is>
      </c>
      <c r="P534" t="inlineStr">
        <is>
          <t>fixture_id=1623328</t>
        </is>
      </c>
    </row>
    <row r="535">
      <c r="A535" t="inlineStr">
        <is>
          <t>2026-08-19</t>
        </is>
      </c>
      <c r="B535" t="inlineStr">
        <is>
          <t>Emperor Cup</t>
        </is>
      </c>
      <c r="C535" t="inlineStr">
        <is>
          <t>Kanazawa</t>
        </is>
      </c>
      <c r="D535" t="inlineStr">
        <is>
          <t>LOCAL</t>
        </is>
      </c>
      <c r="E535" t="inlineStr">
        <is>
          <t>Kyoto Sangyo University</t>
        </is>
      </c>
      <c r="P535" t="inlineStr">
        <is>
          <t>fixture_id=1623329</t>
        </is>
      </c>
    </row>
    <row r="536">
      <c r="A536" t="inlineStr">
        <is>
          <t>2026-08-19</t>
        </is>
      </c>
      <c r="B536" t="inlineStr">
        <is>
          <t>Emperor Cup</t>
        </is>
      </c>
      <c r="C536" t="inlineStr">
        <is>
          <t>Parceiro Nagano</t>
        </is>
      </c>
      <c r="D536" t="inlineStr">
        <is>
          <t>LOCAL</t>
        </is>
      </c>
      <c r="E536" t="inlineStr">
        <is>
          <t>Fukui United</t>
        </is>
      </c>
      <c r="P536" t="inlineStr">
        <is>
          <t>fixture_id=1623330</t>
        </is>
      </c>
    </row>
    <row r="537">
      <c r="A537" t="inlineStr">
        <is>
          <t>2026-08-19</t>
        </is>
      </c>
      <c r="B537" t="inlineStr">
        <is>
          <t>Emperor Cup</t>
        </is>
      </c>
      <c r="C537" t="inlineStr">
        <is>
          <t>Nara Club</t>
        </is>
      </c>
      <c r="D537" t="inlineStr">
        <is>
          <t>LOCAL</t>
        </is>
      </c>
      <c r="E537" t="inlineStr">
        <is>
          <t>Osaka</t>
        </is>
      </c>
      <c r="P537" t="inlineStr">
        <is>
          <t>fixture_id=1623331</t>
        </is>
      </c>
    </row>
    <row r="538">
      <c r="A538" t="inlineStr">
        <is>
          <t>2026-08-19</t>
        </is>
      </c>
      <c r="B538" t="inlineStr">
        <is>
          <t>Emperor Cup</t>
        </is>
      </c>
      <c r="C538" t="inlineStr">
        <is>
          <t>Biwako Shiga</t>
        </is>
      </c>
      <c r="D538" t="inlineStr">
        <is>
          <t>LOCAL</t>
        </is>
      </c>
      <c r="E538" t="inlineStr">
        <is>
          <t>Japan Soccer College</t>
        </is>
      </c>
      <c r="P538" t="inlineStr">
        <is>
          <t>fixture_id=1623332</t>
        </is>
      </c>
    </row>
    <row r="539">
      <c r="A539" t="inlineStr">
        <is>
          <t>2026-08-19</t>
        </is>
      </c>
      <c r="B539" t="inlineStr">
        <is>
          <t>Emperor Cup</t>
        </is>
      </c>
      <c r="C539" t="inlineStr">
        <is>
          <t>Ryutsu Keizai University</t>
        </is>
      </c>
      <c r="D539" t="inlineStr">
        <is>
          <t>LOCAL</t>
        </is>
      </c>
      <c r="E539" t="inlineStr">
        <is>
          <t>Criacao Shinjuku</t>
        </is>
      </c>
      <c r="P539" t="inlineStr">
        <is>
          <t>fixture_id=1623333</t>
        </is>
      </c>
    </row>
    <row r="540">
      <c r="A540" t="inlineStr">
        <is>
          <t>2026-08-19</t>
        </is>
      </c>
      <c r="B540" t="inlineStr">
        <is>
          <t>Emperor Cup</t>
        </is>
      </c>
      <c r="C540" t="inlineStr">
        <is>
          <t>Senshu University</t>
        </is>
      </c>
      <c r="D540" t="inlineStr">
        <is>
          <t>LOCAL</t>
        </is>
      </c>
      <c r="E540" t="inlineStr">
        <is>
          <t>Tsukuba University</t>
        </is>
      </c>
      <c r="P540" t="inlineStr">
        <is>
          <t>fixture_id=1623334</t>
        </is>
      </c>
    </row>
    <row r="541">
      <c r="A541" t="inlineStr">
        <is>
          <t>2026-08-19</t>
        </is>
      </c>
      <c r="B541" t="inlineStr">
        <is>
          <t>Emperor Cup</t>
        </is>
      </c>
      <c r="C541" t="inlineStr">
        <is>
          <t>Tochigi SC</t>
        </is>
      </c>
      <c r="D541" t="inlineStr">
        <is>
          <t>LOCAL</t>
        </is>
      </c>
      <c r="E541" t="inlineStr">
        <is>
          <t>Urayasu</t>
        </is>
      </c>
      <c r="P541" t="inlineStr">
        <is>
          <t>fixture_id=1623335</t>
        </is>
      </c>
    </row>
    <row r="542">
      <c r="A542" t="inlineStr">
        <is>
          <t>2026-08-19</t>
        </is>
      </c>
      <c r="B542" t="inlineStr">
        <is>
          <t>Emperor Cup</t>
        </is>
      </c>
      <c r="C542" t="inlineStr">
        <is>
          <t>Tohoku Gakuin University</t>
        </is>
      </c>
      <c r="D542" t="inlineStr">
        <is>
          <t>LOCAL</t>
        </is>
      </c>
      <c r="E542" t="inlineStr">
        <is>
          <t>Thespakusatsu Gunma</t>
        </is>
      </c>
      <c r="P542" t="inlineStr">
        <is>
          <t>fixture_id=1623336</t>
        </is>
      </c>
    </row>
    <row r="543">
      <c r="A543" t="inlineStr">
        <is>
          <t>2026-08-19</t>
        </is>
      </c>
      <c r="B543" t="inlineStr">
        <is>
          <t>Emperor Cup</t>
        </is>
      </c>
      <c r="C543" t="inlineStr">
        <is>
          <t>Veroskronos Tsuno</t>
        </is>
      </c>
      <c r="D543" t="inlineStr">
        <is>
          <t>LOCAL</t>
        </is>
      </c>
      <c r="E543" t="inlineStr">
        <is>
          <t>Kamatamare Sanuki</t>
        </is>
      </c>
      <c r="P543" t="inlineStr">
        <is>
          <t>fixture_id=1623337</t>
        </is>
      </c>
    </row>
    <row r="544">
      <c r="A544" t="inlineStr">
        <is>
          <t>2026-08-19</t>
        </is>
      </c>
      <c r="B544" t="inlineStr">
        <is>
          <t>Emperor Cup</t>
        </is>
      </c>
      <c r="C544" t="inlineStr">
        <is>
          <t>Verspah Oita</t>
        </is>
      </c>
      <c r="D544" t="inlineStr">
        <is>
          <t>LOCAL</t>
        </is>
      </c>
      <c r="E544" t="inlineStr">
        <is>
          <t>Kochi United</t>
        </is>
      </c>
      <c r="P544" t="inlineStr">
        <is>
          <t>fixture_id=1623338</t>
        </is>
      </c>
    </row>
    <row r="545">
      <c r="A545" t="inlineStr">
        <is>
          <t>2026-08-19</t>
        </is>
      </c>
      <c r="B545" t="inlineStr">
        <is>
          <t>Emperor Cup</t>
        </is>
      </c>
      <c r="C545" t="inlineStr">
        <is>
          <t>Yamanashi Gakuin</t>
        </is>
      </c>
      <c r="D545" t="inlineStr">
        <is>
          <t>LOCAL</t>
        </is>
      </c>
      <c r="E545" t="inlineStr">
        <is>
          <t>Tokyo Int. University</t>
        </is>
      </c>
      <c r="P545" t="inlineStr">
        <is>
          <t>fixture_id=1623339</t>
        </is>
      </c>
    </row>
    <row r="546">
      <c r="A546" t="inlineStr">
        <is>
          <t>2026-08-19</t>
        </is>
      </c>
      <c r="B546" t="inlineStr">
        <is>
          <t>Friendlies Clubs</t>
        </is>
      </c>
      <c r="C546" t="inlineStr">
        <is>
          <t>Long An</t>
        </is>
      </c>
      <c r="D546" t="inlineStr">
        <is>
          <t>LOCAL</t>
        </is>
      </c>
      <c r="E546" t="inlineStr">
        <is>
          <t>Binh Duong</t>
        </is>
      </c>
      <c r="P546" t="inlineStr">
        <is>
          <t>fixture_id=1629013</t>
        </is>
      </c>
    </row>
    <row r="547">
      <c r="A547" t="inlineStr">
        <is>
          <t>2026-08-19</t>
        </is>
      </c>
      <c r="B547" t="inlineStr">
        <is>
          <t>Victoria NPL</t>
        </is>
      </c>
      <c r="C547" t="inlineStr">
        <is>
          <t>Preston Lions</t>
        </is>
      </c>
      <c r="D547" t="inlineStr">
        <is>
          <t>LOCAL</t>
        </is>
      </c>
      <c r="E547" t="inlineStr">
        <is>
          <t>Melbourne City II</t>
        </is>
      </c>
      <c r="P547" t="inlineStr">
        <is>
          <t>fixture_id=1522031</t>
        </is>
      </c>
    </row>
    <row r="548">
      <c r="A548" t="inlineStr">
        <is>
          <t>2026-08-19</t>
        </is>
      </c>
      <c r="B548" t="inlineStr">
        <is>
          <t>FA Cup</t>
        </is>
      </c>
      <c r="C548" t="inlineStr">
        <is>
          <t>FC Anyang</t>
        </is>
      </c>
      <c r="D548" t="inlineStr">
        <is>
          <t>LOCAL</t>
        </is>
      </c>
      <c r="E548" t="inlineStr">
        <is>
          <t>Jeju United FC</t>
        </is>
      </c>
      <c r="P548" t="inlineStr">
        <is>
          <t>fixture_id=1607203</t>
        </is>
      </c>
    </row>
    <row r="549">
      <c r="A549" t="inlineStr">
        <is>
          <t>2026-08-19</t>
        </is>
      </c>
      <c r="B549" t="inlineStr">
        <is>
          <t>FA Cup</t>
        </is>
      </c>
      <c r="C549" t="inlineStr">
        <is>
          <t>Busan I Park</t>
        </is>
      </c>
      <c r="D549" t="inlineStr">
        <is>
          <t>LOCAL</t>
        </is>
      </c>
      <c r="E549" t="inlineStr">
        <is>
          <t>Bucheon FC 1995</t>
        </is>
      </c>
      <c r="P549" t="inlineStr">
        <is>
          <t>fixture_id=1607205</t>
        </is>
      </c>
    </row>
    <row r="550">
      <c r="A550" t="inlineStr">
        <is>
          <t>2026-08-19</t>
        </is>
      </c>
      <c r="B550" t="inlineStr">
        <is>
          <t>FA Cup</t>
        </is>
      </c>
      <c r="C550" t="inlineStr">
        <is>
          <t>Gangwon FC</t>
        </is>
      </c>
      <c r="D550" t="inlineStr">
        <is>
          <t>LOCAL</t>
        </is>
      </c>
      <c r="E550" t="inlineStr">
        <is>
          <t>Seongnam FC</t>
        </is>
      </c>
      <c r="P550" t="inlineStr">
        <is>
          <t>fixture_id=1607207</t>
        </is>
      </c>
    </row>
    <row r="551">
      <c r="A551" t="inlineStr">
        <is>
          <t>2026-08-19</t>
        </is>
      </c>
      <c r="B551" t="inlineStr">
        <is>
          <t>U19 Bundesliga</t>
        </is>
      </c>
      <c r="C551" t="inlineStr">
        <is>
          <t>Greuther Fürth U19</t>
        </is>
      </c>
      <c r="D551" t="inlineStr">
        <is>
          <t>LOCAL</t>
        </is>
      </c>
      <c r="E551" t="inlineStr">
        <is>
          <t>RB Leipzig U19</t>
        </is>
      </c>
      <c r="P551" t="inlineStr">
        <is>
          <t>fixture_id=1595542</t>
        </is>
      </c>
    </row>
    <row r="552">
      <c r="A552" t="inlineStr">
        <is>
          <t>2026-08-19</t>
        </is>
      </c>
      <c r="B552" t="inlineStr">
        <is>
          <t>U19 Bundesliga</t>
        </is>
      </c>
      <c r="C552" t="inlineStr">
        <is>
          <t>Heidenheim U19</t>
        </is>
      </c>
      <c r="D552" t="inlineStr">
        <is>
          <t>LOCAL</t>
        </is>
      </c>
      <c r="E552" t="inlineStr">
        <is>
          <t>Stuttgarter K'rs U19</t>
        </is>
      </c>
      <c r="P552" t="inlineStr">
        <is>
          <t>fixture_id=1595543</t>
        </is>
      </c>
    </row>
    <row r="553">
      <c r="A553" t="inlineStr">
        <is>
          <t>2026-08-19</t>
        </is>
      </c>
      <c r="B553" t="inlineStr">
        <is>
          <t>U19 Bundesliga</t>
        </is>
      </c>
      <c r="C553" t="inlineStr">
        <is>
          <t>Karlsruher SC U19</t>
        </is>
      </c>
      <c r="D553" t="inlineStr">
        <is>
          <t>LOCAL</t>
        </is>
      </c>
      <c r="E553" t="inlineStr">
        <is>
          <t>Freiburg U19</t>
        </is>
      </c>
      <c r="P553" t="inlineStr">
        <is>
          <t>fixture_id=1595544</t>
        </is>
      </c>
    </row>
    <row r="554">
      <c r="A554" t="inlineStr">
        <is>
          <t>2026-08-19</t>
        </is>
      </c>
      <c r="B554" t="inlineStr">
        <is>
          <t>Ligi kuu Bara</t>
        </is>
      </c>
      <c r="C554" t="inlineStr">
        <is>
          <t>Mbeya City</t>
        </is>
      </c>
      <c r="D554" t="inlineStr">
        <is>
          <t>LOCAL</t>
        </is>
      </c>
      <c r="E554" t="inlineStr">
        <is>
          <t>Dodoma Jiji</t>
        </is>
      </c>
      <c r="P554" t="inlineStr">
        <is>
          <t>fixture_id=1600742</t>
        </is>
      </c>
    </row>
    <row r="555">
      <c r="A555" t="inlineStr">
        <is>
          <t>2026-08-19</t>
        </is>
      </c>
      <c r="B555" t="inlineStr">
        <is>
          <t>Friendlies Clubs</t>
        </is>
      </c>
      <c r="C555" t="inlineStr">
        <is>
          <t>Oud-Heverlee Leuven II</t>
        </is>
      </c>
      <c r="D555" t="inlineStr">
        <is>
          <t>LOCAL</t>
        </is>
      </c>
      <c r="E555" t="inlineStr">
        <is>
          <t>KRC Genk II</t>
        </is>
      </c>
      <c r="P555" t="inlineStr">
        <is>
          <t>fixture_id=1604794</t>
        </is>
      </c>
    </row>
    <row r="556">
      <c r="A556" t="inlineStr">
        <is>
          <t>2026-08-19</t>
        </is>
      </c>
      <c r="B556" t="inlineStr">
        <is>
          <t>U19 League</t>
        </is>
      </c>
      <c r="C556" t="inlineStr">
        <is>
          <t>Kolos Kovalivka U19</t>
        </is>
      </c>
      <c r="D556" t="inlineStr">
        <is>
          <t>LOCAL</t>
        </is>
      </c>
      <c r="E556" t="inlineStr">
        <is>
          <t>Oleksandria U19</t>
        </is>
      </c>
      <c r="P556" t="inlineStr">
        <is>
          <t>fixture_id=1611741</t>
        </is>
      </c>
    </row>
    <row r="557">
      <c r="A557" t="inlineStr">
        <is>
          <t>2026-08-19</t>
        </is>
      </c>
      <c r="B557" t="inlineStr">
        <is>
          <t>U19 League</t>
        </is>
      </c>
      <c r="C557" t="inlineStr">
        <is>
          <t>Zhytomyr U19</t>
        </is>
      </c>
      <c r="D557" t="inlineStr">
        <is>
          <t>LOCAL</t>
        </is>
      </c>
      <c r="E557" t="inlineStr">
        <is>
          <t>Shakhtar Donetsk U19</t>
        </is>
      </c>
      <c r="P557" t="inlineStr">
        <is>
          <t>fixture_id=1611743</t>
        </is>
      </c>
    </row>
    <row r="558">
      <c r="A558" t="inlineStr">
        <is>
          <t>2026-08-19</t>
        </is>
      </c>
      <c r="B558" t="inlineStr">
        <is>
          <t>Ligue A</t>
        </is>
      </c>
      <c r="C558" t="inlineStr">
        <is>
          <t>Young Star</t>
        </is>
      </c>
      <c r="D558" t="inlineStr">
        <is>
          <t>LOCAL</t>
        </is>
      </c>
      <c r="E558" t="inlineStr">
        <is>
          <t>Kayanza United</t>
        </is>
      </c>
      <c r="P558" t="inlineStr">
        <is>
          <t>fixture_id=1619542</t>
        </is>
      </c>
    </row>
    <row r="559">
      <c r="A559" t="inlineStr">
        <is>
          <t>2026-08-19</t>
        </is>
      </c>
      <c r="B559" t="inlineStr">
        <is>
          <t>Premier League International Cup</t>
        </is>
      </c>
      <c r="C559" t="inlineStr">
        <is>
          <t>Sunderland U21</t>
        </is>
      </c>
      <c r="D559" t="inlineStr">
        <is>
          <t>LOCAL</t>
        </is>
      </c>
      <c r="E559" t="inlineStr">
        <is>
          <t>Jong PSV U21</t>
        </is>
      </c>
      <c r="P559" t="inlineStr">
        <is>
          <t>fixture_id=1623260</t>
        </is>
      </c>
    </row>
    <row r="560">
      <c r="A560" t="inlineStr">
        <is>
          <t>2026-08-19</t>
        </is>
      </c>
      <c r="B560" t="inlineStr">
        <is>
          <t>League Two</t>
        </is>
      </c>
      <c r="C560" t="inlineStr">
        <is>
          <t>Nantong Haimen Codion</t>
        </is>
      </c>
      <c r="D560" t="inlineStr">
        <is>
          <t>LOCAL</t>
        </is>
      </c>
      <c r="E560" t="inlineStr">
        <is>
          <t>Qingdao Red Lions</t>
        </is>
      </c>
      <c r="P560" t="inlineStr">
        <is>
          <t>fixture_id=1532866</t>
        </is>
      </c>
    </row>
    <row r="561">
      <c r="A561" t="inlineStr">
        <is>
          <t>2026-08-19</t>
        </is>
      </c>
      <c r="B561" t="inlineStr">
        <is>
          <t>Super League</t>
        </is>
      </c>
      <c r="C561" t="inlineStr">
        <is>
          <t>SHANGHAI SIPG</t>
        </is>
      </c>
      <c r="D561" t="inlineStr">
        <is>
          <t>LOCAL</t>
        </is>
      </c>
      <c r="E561" t="inlineStr">
        <is>
          <t>Dalian Zhixing</t>
        </is>
      </c>
      <c r="P561" t="inlineStr">
        <is>
          <t>fixture_id=1523202</t>
        </is>
      </c>
    </row>
    <row r="562">
      <c r="A562" t="inlineStr">
        <is>
          <t>2026-08-19</t>
        </is>
      </c>
      <c r="B562" t="inlineStr">
        <is>
          <t>U19 Bundesliga</t>
        </is>
      </c>
      <c r="C562" t="inlineStr">
        <is>
          <t>Bayern München U19</t>
        </is>
      </c>
      <c r="D562" t="inlineStr">
        <is>
          <t>LOCAL</t>
        </is>
      </c>
      <c r="E562" t="inlineStr">
        <is>
          <t>Stuttgart U19</t>
        </is>
      </c>
      <c r="P562" t="inlineStr">
        <is>
          <t>fixture_id=1595545</t>
        </is>
      </c>
    </row>
    <row r="563">
      <c r="A563" t="inlineStr">
        <is>
          <t>2026-08-19</t>
        </is>
      </c>
      <c r="B563" t="inlineStr">
        <is>
          <t>U19 Bundesliga</t>
        </is>
      </c>
      <c r="C563" t="inlineStr">
        <is>
          <t>Holstein Kiel U19</t>
        </is>
      </c>
      <c r="D563" t="inlineStr">
        <is>
          <t>LOCAL</t>
        </is>
      </c>
      <c r="E563" t="inlineStr">
        <is>
          <t>Hamburger SV U19</t>
        </is>
      </c>
      <c r="P563" t="inlineStr">
        <is>
          <t>fixture_id=1595546</t>
        </is>
      </c>
    </row>
    <row r="564">
      <c r="A564" t="inlineStr">
        <is>
          <t>2026-08-19</t>
        </is>
      </c>
      <c r="B564" t="inlineStr">
        <is>
          <t>First League</t>
        </is>
      </c>
      <c r="C564" t="inlineStr">
        <is>
          <t>Bentonit Ijevan</t>
        </is>
      </c>
      <c r="D564" t="inlineStr">
        <is>
          <t>LOCAL</t>
        </is>
      </c>
      <c r="E564" t="inlineStr">
        <is>
          <t>Pyunik II</t>
        </is>
      </c>
      <c r="P564" t="inlineStr">
        <is>
          <t>fixture_id=1605054</t>
        </is>
      </c>
    </row>
    <row r="565">
      <c r="A565" t="inlineStr">
        <is>
          <t>2026-08-19</t>
        </is>
      </c>
      <c r="B565" t="inlineStr">
        <is>
          <t>U18 Premier League - South</t>
        </is>
      </c>
      <c r="C565" t="inlineStr">
        <is>
          <t>Chelsea U18</t>
        </is>
      </c>
      <c r="D565" t="inlineStr">
        <is>
          <t>LOCAL</t>
        </is>
      </c>
      <c r="E565" t="inlineStr">
        <is>
          <t>Norwich City U18</t>
        </is>
      </c>
      <c r="P565" t="inlineStr">
        <is>
          <t>fixture_id=1621932</t>
        </is>
      </c>
    </row>
    <row r="566">
      <c r="A566" t="inlineStr">
        <is>
          <t>2026-08-19</t>
        </is>
      </c>
      <c r="B566" t="inlineStr">
        <is>
          <t>III Liga - Group 3</t>
        </is>
      </c>
      <c r="C566" t="inlineStr">
        <is>
          <t>Rakow II</t>
        </is>
      </c>
      <c r="D566" t="inlineStr">
        <is>
          <t>LOCAL</t>
        </is>
      </c>
      <c r="E566" t="inlineStr">
        <is>
          <t>Stilon Gorzów</t>
        </is>
      </c>
      <c r="P566" t="inlineStr">
        <is>
          <t>fixture_id=1604152</t>
        </is>
      </c>
    </row>
    <row r="567">
      <c r="A567" t="inlineStr">
        <is>
          <t>2026-08-19</t>
        </is>
      </c>
      <c r="B567" t="inlineStr">
        <is>
          <t>First League</t>
        </is>
      </c>
      <c r="C567" t="inlineStr">
        <is>
          <t>Ararat II</t>
        </is>
      </c>
      <c r="D567" t="inlineStr">
        <is>
          <t>LOCAL</t>
        </is>
      </c>
      <c r="E567" t="inlineStr">
        <is>
          <t>Shirak II</t>
        </is>
      </c>
      <c r="P567" t="inlineStr">
        <is>
          <t>fixture_id=1605053</t>
        </is>
      </c>
    </row>
    <row r="568">
      <c r="A568" t="inlineStr">
        <is>
          <t>2026-08-19</t>
        </is>
      </c>
      <c r="B568" t="inlineStr">
        <is>
          <t>Cup</t>
        </is>
      </c>
      <c r="C568" t="inlineStr">
        <is>
          <t>Altay</t>
        </is>
      </c>
      <c r="D568" t="inlineStr">
        <is>
          <t>LOCAL</t>
        </is>
      </c>
      <c r="E568" t="inlineStr">
        <is>
          <t>Ordabasy</t>
        </is>
      </c>
      <c r="P568" t="inlineStr">
        <is>
          <t>fixture_id=1545179</t>
        </is>
      </c>
    </row>
    <row r="569">
      <c r="A569" t="inlineStr">
        <is>
          <t>2026-08-19</t>
        </is>
      </c>
      <c r="B569" t="inlineStr">
        <is>
          <t>III Liga - Group 1</t>
        </is>
      </c>
      <c r="C569" t="inlineStr">
        <is>
          <t>ŁKS Łódź II</t>
        </is>
      </c>
      <c r="D569" t="inlineStr">
        <is>
          <t>LOCAL</t>
        </is>
      </c>
      <c r="E569" t="inlineStr">
        <is>
          <t>Weszlo</t>
        </is>
      </c>
      <c r="P569" t="inlineStr">
        <is>
          <t>fixture_id=1569056</t>
        </is>
      </c>
    </row>
    <row r="570">
      <c r="A570" t="inlineStr">
        <is>
          <t>2026-08-19</t>
        </is>
      </c>
      <c r="B570" t="inlineStr">
        <is>
          <t>Premier Soccer League</t>
        </is>
      </c>
      <c r="C570" t="inlineStr">
        <is>
          <t>Highlanders</t>
        </is>
      </c>
      <c r="D570" t="inlineStr">
        <is>
          <t>LOCAL</t>
        </is>
      </c>
      <c r="E570" t="inlineStr">
        <is>
          <t>Chicken Inn</t>
        </is>
      </c>
      <c r="P570" t="inlineStr">
        <is>
          <t>fixture_id=1589383</t>
        </is>
      </c>
    </row>
    <row r="571">
      <c r="A571" t="inlineStr">
        <is>
          <t>2026-08-19</t>
        </is>
      </c>
      <c r="B571" t="inlineStr">
        <is>
          <t>Premier Soccer League</t>
        </is>
      </c>
      <c r="C571" t="inlineStr">
        <is>
          <t>Dynamos</t>
        </is>
      </c>
      <c r="D571" t="inlineStr">
        <is>
          <t>LOCAL</t>
        </is>
      </c>
      <c r="E571" t="inlineStr">
        <is>
          <t>Scotland Mabvuku</t>
        </is>
      </c>
      <c r="P571" t="inlineStr">
        <is>
          <t>fixture_id=1603281</t>
        </is>
      </c>
    </row>
    <row r="572">
      <c r="A572" t="inlineStr">
        <is>
          <t>2026-08-19</t>
        </is>
      </c>
      <c r="B572" t="inlineStr">
        <is>
          <t>First League</t>
        </is>
      </c>
      <c r="C572" t="inlineStr">
        <is>
          <t>Araks Ararat</t>
        </is>
      </c>
      <c r="D572" t="inlineStr">
        <is>
          <t>LOCAL</t>
        </is>
      </c>
      <c r="E572" t="inlineStr">
        <is>
          <t>Hayq</t>
        </is>
      </c>
      <c r="P572" t="inlineStr">
        <is>
          <t>fixture_id=1605052</t>
        </is>
      </c>
    </row>
    <row r="573">
      <c r="A573" t="inlineStr">
        <is>
          <t>2026-08-19</t>
        </is>
      </c>
      <c r="B573" t="inlineStr">
        <is>
          <t>ASEAN Championship</t>
        </is>
      </c>
      <c r="C573" t="inlineStr">
        <is>
          <t>Vietnam</t>
        </is>
      </c>
      <c r="D573" t="inlineStr">
        <is>
          <t>LOCAL</t>
        </is>
      </c>
      <c r="E573" t="inlineStr">
        <is>
          <t>Malaysia</t>
        </is>
      </c>
      <c r="P573" t="inlineStr">
        <is>
          <t>fixture_id=1619319</t>
        </is>
      </c>
    </row>
    <row r="574">
      <c r="A574" t="inlineStr">
        <is>
          <t>2026-08-19</t>
        </is>
      </c>
      <c r="B574" t="inlineStr">
        <is>
          <t>Pernambucano - U20</t>
        </is>
      </c>
      <c r="C574" t="inlineStr">
        <is>
          <t>Nautico U20</t>
        </is>
      </c>
      <c r="D574" t="inlineStr">
        <is>
          <t>LOCAL</t>
        </is>
      </c>
      <c r="E574" t="inlineStr">
        <is>
          <t>Academica Vitoria U20</t>
        </is>
      </c>
      <c r="P574" t="inlineStr">
        <is>
          <t>fixture_id=1627177</t>
        </is>
      </c>
    </row>
    <row r="575">
      <c r="A575" t="inlineStr">
        <is>
          <t>2026-08-19</t>
        </is>
      </c>
      <c r="B575" t="inlineStr">
        <is>
          <t>Nasjonal U19 Champions League</t>
        </is>
      </c>
      <c r="C575" t="inlineStr">
        <is>
          <t>Viking U19</t>
        </is>
      </c>
      <c r="D575" t="inlineStr">
        <is>
          <t>LOCAL</t>
        </is>
      </c>
      <c r="E575" t="inlineStr">
        <is>
          <t>Brann U19</t>
        </is>
      </c>
      <c r="P575" t="inlineStr">
        <is>
          <t>fixture_id=1628459</t>
        </is>
      </c>
    </row>
    <row r="576">
      <c r="A576" t="inlineStr">
        <is>
          <t>2026-08-19</t>
        </is>
      </c>
      <c r="B576" t="inlineStr">
        <is>
          <t>Cup</t>
        </is>
      </c>
      <c r="C576" t="inlineStr">
        <is>
          <t>Krylia Sovetov</t>
        </is>
      </c>
      <c r="D576" t="inlineStr">
        <is>
          <t>LOCAL</t>
        </is>
      </c>
      <c r="E576" t="inlineStr">
        <is>
          <t>Zenit</t>
        </is>
      </c>
      <c r="P576" t="inlineStr">
        <is>
          <t>fixture_id=1563648</t>
        </is>
      </c>
    </row>
    <row r="577">
      <c r="A577" t="inlineStr">
        <is>
          <t>2026-08-19</t>
        </is>
      </c>
      <c r="B577" t="inlineStr">
        <is>
          <t>Ligi kuu Bara</t>
        </is>
      </c>
      <c r="C577" t="inlineStr">
        <is>
          <t>Pamba Jiji</t>
        </is>
      </c>
      <c r="D577" t="inlineStr">
        <is>
          <t>LOCAL</t>
        </is>
      </c>
      <c r="E577" t="inlineStr">
        <is>
          <t>Simba</t>
        </is>
      </c>
      <c r="P577" t="inlineStr">
        <is>
          <t>fixture_id=1600743</t>
        </is>
      </c>
    </row>
    <row r="578">
      <c r="A578" t="inlineStr">
        <is>
          <t>2026-08-19</t>
        </is>
      </c>
      <c r="B578" t="inlineStr">
        <is>
          <t>U19 Bundesliga</t>
        </is>
      </c>
      <c r="C578" t="inlineStr">
        <is>
          <t>Elversberg U19</t>
        </is>
      </c>
      <c r="D578" t="inlineStr">
        <is>
          <t>LOCAL</t>
        </is>
      </c>
      <c r="E578" t="inlineStr">
        <is>
          <t>Alemannia Aachen U19</t>
        </is>
      </c>
      <c r="P578" t="inlineStr">
        <is>
          <t>fixture_id=1595547</t>
        </is>
      </c>
    </row>
    <row r="579">
      <c r="A579" t="inlineStr">
        <is>
          <t>2026-08-19</t>
        </is>
      </c>
      <c r="B579" t="inlineStr">
        <is>
          <t>Ligue A</t>
        </is>
      </c>
      <c r="C579" t="inlineStr">
        <is>
          <t>Musongati</t>
        </is>
      </c>
      <c r="D579" t="inlineStr">
        <is>
          <t>LOCAL</t>
        </is>
      </c>
      <c r="E579" t="inlineStr">
        <is>
          <t>Rukinzo</t>
        </is>
      </c>
      <c r="P579" t="inlineStr">
        <is>
          <t>fixture_id=1619543</t>
        </is>
      </c>
    </row>
    <row r="580">
      <c r="A580" t="inlineStr">
        <is>
          <t>2026-08-19</t>
        </is>
      </c>
      <c r="B580" t="inlineStr">
        <is>
          <t>Super League</t>
        </is>
      </c>
      <c r="C580" t="inlineStr">
        <is>
          <t>Olmaliq</t>
        </is>
      </c>
      <c r="D580" t="inlineStr">
        <is>
          <t>LOCAL</t>
        </is>
      </c>
      <c r="E580" t="inlineStr">
        <is>
          <t>Dinamo Samarqand</t>
        </is>
      </c>
      <c r="P580" t="inlineStr">
        <is>
          <t>fixture_id=1516109</t>
        </is>
      </c>
    </row>
    <row r="581">
      <c r="A581" t="inlineStr">
        <is>
          <t>2026-08-19</t>
        </is>
      </c>
      <c r="B581" t="inlineStr">
        <is>
          <t>Cup</t>
        </is>
      </c>
      <c r="C581" t="inlineStr">
        <is>
          <t>Zhenys</t>
        </is>
      </c>
      <c r="D581" t="inlineStr">
        <is>
          <t>LOCAL</t>
        </is>
      </c>
      <c r="E581" t="inlineStr">
        <is>
          <t>Kaisar</t>
        </is>
      </c>
      <c r="P581" t="inlineStr">
        <is>
          <t>fixture_id=1545180</t>
        </is>
      </c>
    </row>
    <row r="582">
      <c r="A582" t="inlineStr">
        <is>
          <t>2026-08-19</t>
        </is>
      </c>
      <c r="B582" t="inlineStr">
        <is>
          <t>III Liga - Group 3</t>
        </is>
      </c>
      <c r="C582" t="inlineStr">
        <is>
          <t>Miedź Legnica II</t>
        </is>
      </c>
      <c r="D582" t="inlineStr">
        <is>
          <t>LOCAL</t>
        </is>
      </c>
      <c r="E582" t="inlineStr">
        <is>
          <t>Odra Bytom Odrzański</t>
        </is>
      </c>
      <c r="P582" t="inlineStr">
        <is>
          <t>fixture_id=1568445</t>
        </is>
      </c>
    </row>
    <row r="583">
      <c r="A583" t="inlineStr">
        <is>
          <t>2026-08-19</t>
        </is>
      </c>
      <c r="B583" t="inlineStr">
        <is>
          <t>U19 Bundesliga</t>
        </is>
      </c>
      <c r="C583" t="inlineStr">
        <is>
          <t>Babelsberg U19</t>
        </is>
      </c>
      <c r="D583" t="inlineStr">
        <is>
          <t>LOCAL</t>
        </is>
      </c>
      <c r="E583" t="inlineStr">
        <is>
          <t>Union Berlin U19</t>
        </is>
      </c>
      <c r="P583" t="inlineStr">
        <is>
          <t>fixture_id=1595548</t>
        </is>
      </c>
    </row>
    <row r="584">
      <c r="A584" t="inlineStr">
        <is>
          <t>2026-08-19</t>
        </is>
      </c>
      <c r="B584" t="inlineStr">
        <is>
          <t>U19 Bundesliga</t>
        </is>
      </c>
      <c r="C584" t="inlineStr">
        <is>
          <t>Carl Zeiss Jena U19</t>
        </is>
      </c>
      <c r="D584" t="inlineStr">
        <is>
          <t>LOCAL</t>
        </is>
      </c>
      <c r="E584" t="inlineStr">
        <is>
          <t>Hertha BSC U19</t>
        </is>
      </c>
      <c r="P584" t="inlineStr">
        <is>
          <t>fixture_id=1595558</t>
        </is>
      </c>
    </row>
    <row r="585">
      <c r="A585" t="inlineStr">
        <is>
          <t>2026-08-19</t>
        </is>
      </c>
      <c r="B585" t="inlineStr">
        <is>
          <t>Cup</t>
        </is>
      </c>
      <c r="C585" t="inlineStr">
        <is>
          <t>Nestos Chrisoupolis</t>
        </is>
      </c>
      <c r="D585" t="inlineStr">
        <is>
          <t>LOCAL</t>
        </is>
      </c>
      <c r="E585" t="inlineStr">
        <is>
          <t>Apollon Pontou</t>
        </is>
      </c>
      <c r="P585" t="inlineStr">
        <is>
          <t>fixture_id=1610814</t>
        </is>
      </c>
    </row>
    <row r="586">
      <c r="A586" t="inlineStr">
        <is>
          <t>2026-08-19</t>
        </is>
      </c>
      <c r="B586" t="inlineStr">
        <is>
          <t>Cup</t>
        </is>
      </c>
      <c r="C586" t="inlineStr">
        <is>
          <t>Niki Volos</t>
        </is>
      </c>
      <c r="D586" t="inlineStr">
        <is>
          <t>LOCAL</t>
        </is>
      </c>
      <c r="E586" t="inlineStr">
        <is>
          <t>Panionios</t>
        </is>
      </c>
      <c r="P586" t="inlineStr">
        <is>
          <t>fixture_id=1610820</t>
        </is>
      </c>
    </row>
    <row r="587">
      <c r="A587" t="inlineStr">
        <is>
          <t>2026-08-19</t>
        </is>
      </c>
      <c r="B587" t="inlineStr">
        <is>
          <t>Cup</t>
        </is>
      </c>
      <c r="C587" t="inlineStr">
        <is>
          <t>Zakynthos</t>
        </is>
      </c>
      <c r="D587" t="inlineStr">
        <is>
          <t>LOCAL</t>
        </is>
      </c>
      <c r="E587" t="inlineStr">
        <is>
          <t>Kifisia</t>
        </is>
      </c>
      <c r="P587" t="inlineStr">
        <is>
          <t>fixture_id=1610822</t>
        </is>
      </c>
    </row>
    <row r="588">
      <c r="A588" t="inlineStr">
        <is>
          <t>2026-08-19</t>
        </is>
      </c>
      <c r="B588" t="inlineStr">
        <is>
          <t>Cup</t>
        </is>
      </c>
      <c r="C588" t="inlineStr">
        <is>
          <t>Kalamata</t>
        </is>
      </c>
      <c r="D588" t="inlineStr">
        <is>
          <t>LOCAL</t>
        </is>
      </c>
      <c r="E588" t="inlineStr">
        <is>
          <t>Panetolikos</t>
        </is>
      </c>
      <c r="P588" t="inlineStr">
        <is>
          <t>fixture_id=1610817</t>
        </is>
      </c>
    </row>
    <row r="589">
      <c r="A589" t="inlineStr">
        <is>
          <t>2026-08-19</t>
        </is>
      </c>
      <c r="B589" t="inlineStr">
        <is>
          <t>III Liga - Group 4</t>
        </is>
      </c>
      <c r="C589" t="inlineStr">
        <is>
          <t>Pogoń-Sokół Lubaczów</t>
        </is>
      </c>
      <c r="D589" t="inlineStr">
        <is>
          <t>LOCAL</t>
        </is>
      </c>
      <c r="E589" t="inlineStr">
        <is>
          <t>Wisła Kraków II</t>
        </is>
      </c>
      <c r="P589" t="inlineStr">
        <is>
          <t>fixture_id=1568136</t>
        </is>
      </c>
    </row>
    <row r="590">
      <c r="A590" t="inlineStr">
        <is>
          <t>2026-08-19</t>
        </is>
      </c>
      <c r="B590" t="inlineStr">
        <is>
          <t>III Liga - Group 1</t>
        </is>
      </c>
      <c r="C590" t="inlineStr">
        <is>
          <t>Jagiellonia II</t>
        </is>
      </c>
      <c r="D590" t="inlineStr">
        <is>
          <t>LOCAL</t>
        </is>
      </c>
      <c r="E590" t="inlineStr">
        <is>
          <t>Pelikan Łowicz</t>
        </is>
      </c>
      <c r="P590" t="inlineStr">
        <is>
          <t>fixture_id=1569054</t>
        </is>
      </c>
    </row>
    <row r="591">
      <c r="A591" t="inlineStr">
        <is>
          <t>2026-08-19</t>
        </is>
      </c>
      <c r="B591" t="inlineStr">
        <is>
          <t>U19 Bundesliga</t>
        </is>
      </c>
      <c r="C591" t="inlineStr">
        <is>
          <t>Wolfsburg U19</t>
        </is>
      </c>
      <c r="D591" t="inlineStr">
        <is>
          <t>LOCAL</t>
        </is>
      </c>
      <c r="E591" t="inlineStr">
        <is>
          <t>Preußen Münster U19</t>
        </is>
      </c>
      <c r="P591" t="inlineStr">
        <is>
          <t>fixture_id=1595549</t>
        </is>
      </c>
    </row>
    <row r="592">
      <c r="A592" t="inlineStr">
        <is>
          <t>2026-08-19</t>
        </is>
      </c>
      <c r="B592" t="inlineStr">
        <is>
          <t>Cupa României</t>
        </is>
      </c>
      <c r="C592" t="inlineStr">
        <is>
          <t>CS Afumati</t>
        </is>
      </c>
      <c r="D592" t="inlineStr">
        <is>
          <t>LOCAL</t>
        </is>
      </c>
      <c r="E592" t="inlineStr">
        <is>
          <t>FC Voluntari</t>
        </is>
      </c>
      <c r="P592" t="inlineStr">
        <is>
          <t>fixture_id=1627509</t>
        </is>
      </c>
    </row>
    <row r="593">
      <c r="A593" t="inlineStr">
        <is>
          <t>2026-08-19</t>
        </is>
      </c>
      <c r="B593" t="inlineStr">
        <is>
          <t>Cupa României</t>
        </is>
      </c>
      <c r="C593" t="inlineStr">
        <is>
          <t>Minaur Baia Mare</t>
        </is>
      </c>
      <c r="D593" t="inlineStr">
        <is>
          <t>LOCAL</t>
        </is>
      </c>
      <c r="E593" t="inlineStr">
        <is>
          <t>Corvinul Hunedoara</t>
        </is>
      </c>
      <c r="P593" t="inlineStr">
        <is>
          <t>fixture_id=1627510</t>
        </is>
      </c>
    </row>
    <row r="594">
      <c r="A594" t="inlineStr">
        <is>
          <t>2026-08-19</t>
        </is>
      </c>
      <c r="B594" t="inlineStr">
        <is>
          <t>Cupa României</t>
        </is>
      </c>
      <c r="C594" t="inlineStr">
        <is>
          <t>CIL Blaj</t>
        </is>
      </c>
      <c r="D594" t="inlineStr">
        <is>
          <t>LOCAL</t>
        </is>
      </c>
      <c r="E594" t="inlineStr">
        <is>
          <t>Progresul Spartac</t>
        </is>
      </c>
      <c r="P594" t="inlineStr">
        <is>
          <t>fixture_id=1627511</t>
        </is>
      </c>
    </row>
    <row r="595">
      <c r="A595" t="inlineStr">
        <is>
          <t>2026-08-19</t>
        </is>
      </c>
      <c r="B595" t="inlineStr">
        <is>
          <t>Cupa României</t>
        </is>
      </c>
      <c r="C595" t="inlineStr">
        <is>
          <t>Corona Braşov</t>
        </is>
      </c>
      <c r="D595" t="inlineStr">
        <is>
          <t>LOCAL</t>
        </is>
      </c>
      <c r="E595" t="inlineStr">
        <is>
          <t>Tunari</t>
        </is>
      </c>
      <c r="P595" t="inlineStr">
        <is>
          <t>fixture_id=1627512</t>
        </is>
      </c>
    </row>
    <row r="596">
      <c r="A596" t="inlineStr">
        <is>
          <t>2026-08-19</t>
        </is>
      </c>
      <c r="B596" t="inlineStr">
        <is>
          <t>Cupa României</t>
        </is>
      </c>
      <c r="C596" t="inlineStr">
        <is>
          <t>Slatina</t>
        </is>
      </c>
      <c r="D596" t="inlineStr">
        <is>
          <t>LOCAL</t>
        </is>
      </c>
      <c r="E596" t="inlineStr">
        <is>
          <t>Sepsi OSK Sfantu Gheorghe</t>
        </is>
      </c>
      <c r="P596" t="inlineStr">
        <is>
          <t>fixture_id=1627513</t>
        </is>
      </c>
    </row>
    <row r="597">
      <c r="A597" t="inlineStr">
        <is>
          <t>2026-08-19</t>
        </is>
      </c>
      <c r="B597" t="inlineStr">
        <is>
          <t>Cupa României</t>
        </is>
      </c>
      <c r="C597" t="inlineStr">
        <is>
          <t>Bihor Oradea</t>
        </is>
      </c>
      <c r="D597" t="inlineStr">
        <is>
          <t>LOCAL</t>
        </is>
      </c>
      <c r="E597" t="inlineStr">
        <is>
          <t>Farul Constanta</t>
        </is>
      </c>
      <c r="P597" t="inlineStr">
        <is>
          <t>fixture_id=1627514</t>
        </is>
      </c>
    </row>
    <row r="598">
      <c r="A598" t="inlineStr">
        <is>
          <t>2026-08-19</t>
        </is>
      </c>
      <c r="B598" t="inlineStr">
        <is>
          <t>Cupa României</t>
        </is>
      </c>
      <c r="C598" t="inlineStr">
        <is>
          <t>Gloria Bistriţa</t>
        </is>
      </c>
      <c r="D598" t="inlineStr">
        <is>
          <t>LOCAL</t>
        </is>
      </c>
      <c r="E598" t="inlineStr">
        <is>
          <t>Metalul Buzău</t>
        </is>
      </c>
      <c r="P598" t="inlineStr">
        <is>
          <t>fixture_id=1627515</t>
        </is>
      </c>
    </row>
    <row r="599">
      <c r="A599" t="inlineStr">
        <is>
          <t>2026-08-19</t>
        </is>
      </c>
      <c r="B599" t="inlineStr">
        <is>
          <t>Cupa României</t>
        </is>
      </c>
      <c r="C599" t="inlineStr">
        <is>
          <t>Minerul Lupeni</t>
        </is>
      </c>
      <c r="D599" t="inlineStr">
        <is>
          <t>LOCAL</t>
        </is>
      </c>
      <c r="E599" t="inlineStr">
        <is>
          <t>Unirea Slobozia</t>
        </is>
      </c>
      <c r="P599" t="inlineStr">
        <is>
          <t>fixture_id=1627516</t>
        </is>
      </c>
    </row>
    <row r="600">
      <c r="A600" t="inlineStr">
        <is>
          <t>2026-08-19</t>
        </is>
      </c>
      <c r="B600" t="inlineStr">
        <is>
          <t>Cupa României</t>
        </is>
      </c>
      <c r="C600" t="inlineStr">
        <is>
          <t>FC Politehnica Timisoara</t>
        </is>
      </c>
      <c r="D600" t="inlineStr">
        <is>
          <t>LOCAL</t>
        </is>
      </c>
      <c r="E600" t="inlineStr">
        <is>
          <t>ASA Targu Mures</t>
        </is>
      </c>
      <c r="P600" t="inlineStr">
        <is>
          <t>fixture_id=1627517</t>
        </is>
      </c>
    </row>
    <row r="601">
      <c r="A601" t="inlineStr">
        <is>
          <t>2026-08-19</t>
        </is>
      </c>
      <c r="B601" t="inlineStr">
        <is>
          <t>Cupa României</t>
        </is>
      </c>
      <c r="C601" t="inlineStr">
        <is>
          <t>Popești-Leordeni</t>
        </is>
      </c>
      <c r="D601" t="inlineStr">
        <is>
          <t>LOCAL</t>
        </is>
      </c>
      <c r="E601" t="inlineStr">
        <is>
          <t>FC Bacau</t>
        </is>
      </c>
      <c r="P601" t="inlineStr">
        <is>
          <t>fixture_id=1627518</t>
        </is>
      </c>
    </row>
    <row r="602">
      <c r="A602" t="inlineStr">
        <is>
          <t>2026-08-19</t>
        </is>
      </c>
      <c r="B602" t="inlineStr">
        <is>
          <t>Cupa României</t>
        </is>
      </c>
      <c r="C602" t="inlineStr">
        <is>
          <t>USV Iaşi</t>
        </is>
      </c>
      <c r="D602" t="inlineStr">
        <is>
          <t>LOCAL</t>
        </is>
      </c>
      <c r="E602" t="inlineStr">
        <is>
          <t>Sporting Lieşti</t>
        </is>
      </c>
      <c r="P602" t="inlineStr">
        <is>
          <t>fixture_id=1627519</t>
        </is>
      </c>
    </row>
    <row r="603">
      <c r="A603" t="inlineStr">
        <is>
          <t>2026-08-19</t>
        </is>
      </c>
      <c r="B603" t="inlineStr">
        <is>
          <t>Super League</t>
        </is>
      </c>
      <c r="C603" t="inlineStr">
        <is>
          <t>Mash'al</t>
        </is>
      </c>
      <c r="D603" t="inlineStr">
        <is>
          <t>LOCAL</t>
        </is>
      </c>
      <c r="E603" t="inlineStr">
        <is>
          <t>Andijan</t>
        </is>
      </c>
      <c r="P603" t="inlineStr">
        <is>
          <t>fixture_id=1516107</t>
        </is>
      </c>
    </row>
    <row r="604">
      <c r="A604" t="inlineStr">
        <is>
          <t>2026-08-19</t>
        </is>
      </c>
      <c r="B604" t="inlineStr">
        <is>
          <t>Prva Liga</t>
        </is>
      </c>
      <c r="C604" t="inlineStr">
        <is>
          <t>Grafičar</t>
        </is>
      </c>
      <c r="D604" t="inlineStr">
        <is>
          <t>LOCAL</t>
        </is>
      </c>
      <c r="E604" t="inlineStr">
        <is>
          <t>Loznica</t>
        </is>
      </c>
      <c r="P604" t="inlineStr">
        <is>
          <t>fixture_id=1554121</t>
        </is>
      </c>
    </row>
    <row r="605">
      <c r="A605" t="inlineStr">
        <is>
          <t>2026-08-19</t>
        </is>
      </c>
      <c r="B605" t="inlineStr">
        <is>
          <t>Prva Liga</t>
        </is>
      </c>
      <c r="C605" t="inlineStr">
        <is>
          <t>OFK Vršac</t>
        </is>
      </c>
      <c r="D605" t="inlineStr">
        <is>
          <t>LOCAL</t>
        </is>
      </c>
      <c r="E605" t="inlineStr">
        <is>
          <t>Dubočica</t>
        </is>
      </c>
      <c r="P605" t="inlineStr">
        <is>
          <t>fixture_id=1554126</t>
        </is>
      </c>
    </row>
    <row r="606">
      <c r="A606" t="inlineStr">
        <is>
          <t>2026-08-19</t>
        </is>
      </c>
      <c r="B606" t="inlineStr">
        <is>
          <t>III Liga - Group 4</t>
        </is>
      </c>
      <c r="C606" t="inlineStr">
        <is>
          <t>Chełmianka Chełm</t>
        </is>
      </c>
      <c r="D606" t="inlineStr">
        <is>
          <t>LOCAL</t>
        </is>
      </c>
      <c r="E606" t="inlineStr">
        <is>
          <t>Wisłoka Dębica</t>
        </is>
      </c>
      <c r="P606" t="inlineStr">
        <is>
          <t>fixture_id=1568133</t>
        </is>
      </c>
    </row>
    <row r="607">
      <c r="A607" t="inlineStr">
        <is>
          <t>2026-08-19</t>
        </is>
      </c>
      <c r="B607" t="inlineStr">
        <is>
          <t>III Liga - Group 4</t>
        </is>
      </c>
      <c r="C607" t="inlineStr">
        <is>
          <t>Korona Kielce II</t>
        </is>
      </c>
      <c r="D607" t="inlineStr">
        <is>
          <t>LOCAL</t>
        </is>
      </c>
      <c r="E607" t="inlineStr">
        <is>
          <t>Hetman Zamosc</t>
        </is>
      </c>
      <c r="P607" t="inlineStr">
        <is>
          <t>fixture_id=1568134</t>
        </is>
      </c>
    </row>
    <row r="608">
      <c r="A608" t="inlineStr">
        <is>
          <t>2026-08-19</t>
        </is>
      </c>
      <c r="B608" t="inlineStr">
        <is>
          <t>III Liga - Group 4</t>
        </is>
      </c>
      <c r="C608" t="inlineStr">
        <is>
          <t>KS Wieczysta Krakow II</t>
        </is>
      </c>
      <c r="D608" t="inlineStr">
        <is>
          <t>LOCAL</t>
        </is>
      </c>
      <c r="E608" t="inlineStr">
        <is>
          <t>Sokół Kolb.</t>
        </is>
      </c>
      <c r="P608" t="inlineStr">
        <is>
          <t>fixture_id=1568135</t>
        </is>
      </c>
    </row>
    <row r="609">
      <c r="A609" t="inlineStr">
        <is>
          <t>2026-08-19</t>
        </is>
      </c>
      <c r="B609" t="inlineStr">
        <is>
          <t>III Liga - Group 4</t>
        </is>
      </c>
      <c r="C609" t="inlineStr">
        <is>
          <t>Moravia Morawica</t>
        </is>
      </c>
      <c r="D609" t="inlineStr">
        <is>
          <t>LOCAL</t>
        </is>
      </c>
      <c r="E609" t="inlineStr">
        <is>
          <t>Naprzód</t>
        </is>
      </c>
      <c r="P609" t="inlineStr">
        <is>
          <t>fixture_id=1568137</t>
        </is>
      </c>
    </row>
    <row r="610">
      <c r="A610" t="inlineStr">
        <is>
          <t>2026-08-19</t>
        </is>
      </c>
      <c r="B610" t="inlineStr">
        <is>
          <t>III Liga - Group 4</t>
        </is>
      </c>
      <c r="C610" t="inlineStr">
        <is>
          <t>Siarka Tarnobrzeg</t>
        </is>
      </c>
      <c r="D610" t="inlineStr">
        <is>
          <t>LOCAL</t>
        </is>
      </c>
      <c r="E610" t="inlineStr">
        <is>
          <t>Jarosław</t>
        </is>
      </c>
      <c r="P610" t="inlineStr">
        <is>
          <t>fixture_id=1568138</t>
        </is>
      </c>
    </row>
    <row r="611">
      <c r="A611" t="inlineStr">
        <is>
          <t>2026-08-19</t>
        </is>
      </c>
      <c r="B611" t="inlineStr">
        <is>
          <t>III Liga - Group 4</t>
        </is>
      </c>
      <c r="C611" t="inlineStr">
        <is>
          <t>Podlasie Biała Podlaska</t>
        </is>
      </c>
      <c r="D611" t="inlineStr">
        <is>
          <t>LOCAL</t>
        </is>
      </c>
      <c r="E611" t="inlineStr">
        <is>
          <t>Busko-Zdroj</t>
        </is>
      </c>
      <c r="P611" t="inlineStr">
        <is>
          <t>fixture_id=1568383</t>
        </is>
      </c>
    </row>
    <row r="612">
      <c r="A612" t="inlineStr">
        <is>
          <t>2026-08-19</t>
        </is>
      </c>
      <c r="B612" t="inlineStr">
        <is>
          <t>III Liga - Group 3</t>
        </is>
      </c>
      <c r="C612" t="inlineStr">
        <is>
          <t>Sparta Katowice</t>
        </is>
      </c>
      <c r="D612" t="inlineStr">
        <is>
          <t>LOCAL</t>
        </is>
      </c>
      <c r="E612" t="inlineStr">
        <is>
          <t>Goczałkowice Zdrój</t>
        </is>
      </c>
      <c r="P612" t="inlineStr">
        <is>
          <t>fixture_id=1568442</t>
        </is>
      </c>
    </row>
    <row r="613">
      <c r="A613" t="inlineStr">
        <is>
          <t>2026-08-19</t>
        </is>
      </c>
      <c r="B613" t="inlineStr">
        <is>
          <t>III Liga - Group 3</t>
        </is>
      </c>
      <c r="C613" t="inlineStr">
        <is>
          <t>Karkonosze Jelenia Góra</t>
        </is>
      </c>
      <c r="D613" t="inlineStr">
        <is>
          <t>LOCAL</t>
        </is>
      </c>
      <c r="E613" t="inlineStr">
        <is>
          <t>Barycz Sułów</t>
        </is>
      </c>
      <c r="P613" t="inlineStr">
        <is>
          <t>fixture_id=1568443</t>
        </is>
      </c>
    </row>
    <row r="614">
      <c r="A614" t="inlineStr">
        <is>
          <t>2026-08-19</t>
        </is>
      </c>
      <c r="B614" t="inlineStr">
        <is>
          <t>III Liga - Group 3</t>
        </is>
      </c>
      <c r="C614" t="inlineStr">
        <is>
          <t>Kluczbork</t>
        </is>
      </c>
      <c r="D614" t="inlineStr">
        <is>
          <t>LOCAL</t>
        </is>
      </c>
      <c r="E614" t="inlineStr">
        <is>
          <t>Zagłębie Lubin II</t>
        </is>
      </c>
      <c r="P614" t="inlineStr">
        <is>
          <t>fixture_id=1568444</t>
        </is>
      </c>
    </row>
    <row r="615">
      <c r="A615" t="inlineStr">
        <is>
          <t>2026-08-19</t>
        </is>
      </c>
      <c r="B615" t="inlineStr">
        <is>
          <t>III Liga - Group 3</t>
        </is>
      </c>
      <c r="C615" t="inlineStr">
        <is>
          <t>Warta Gorzów</t>
        </is>
      </c>
      <c r="D615" t="inlineStr">
        <is>
          <t>LOCAL</t>
        </is>
      </c>
      <c r="E615" t="inlineStr">
        <is>
          <t>Górnik Polkowice</t>
        </is>
      </c>
      <c r="P615" t="inlineStr">
        <is>
          <t>fixture_id=1568448</t>
        </is>
      </c>
    </row>
    <row r="616">
      <c r="A616" t="inlineStr">
        <is>
          <t>2026-08-19</t>
        </is>
      </c>
      <c r="B616" t="inlineStr">
        <is>
          <t>III Liga - Group 2</t>
        </is>
      </c>
      <c r="C616" t="inlineStr">
        <is>
          <t>Kalisz</t>
        </is>
      </c>
      <c r="D616" t="inlineStr">
        <is>
          <t>LOCAL</t>
        </is>
      </c>
      <c r="E616" t="inlineStr">
        <is>
          <t>Noteć Czarnków</t>
        </is>
      </c>
      <c r="P616" t="inlineStr">
        <is>
          <t>fixture_id=1568749</t>
        </is>
      </c>
    </row>
    <row r="617">
      <c r="A617" t="inlineStr">
        <is>
          <t>2026-08-19</t>
        </is>
      </c>
      <c r="B617" t="inlineStr">
        <is>
          <t>III Liga - Group 2</t>
        </is>
      </c>
      <c r="C617" t="inlineStr">
        <is>
          <t>Luzino</t>
        </is>
      </c>
      <c r="D617" t="inlineStr">
        <is>
          <t>LOCAL</t>
        </is>
      </c>
      <c r="E617" t="inlineStr">
        <is>
          <t>Chemik Bydgoszcz</t>
        </is>
      </c>
      <c r="P617" t="inlineStr">
        <is>
          <t>fixture_id=1568753</t>
        </is>
      </c>
    </row>
    <row r="618">
      <c r="A618" t="inlineStr">
        <is>
          <t>2026-08-19</t>
        </is>
      </c>
      <c r="B618" t="inlineStr">
        <is>
          <t>III Liga - Group 2</t>
        </is>
      </c>
      <c r="C618" t="inlineStr">
        <is>
          <t>Flota Świnoujście</t>
        </is>
      </c>
      <c r="D618" t="inlineStr">
        <is>
          <t>LOCAL</t>
        </is>
      </c>
      <c r="E618" t="inlineStr">
        <is>
          <t>Victoria Września</t>
        </is>
      </c>
      <c r="P618" t="inlineStr">
        <is>
          <t>fixture_id=1568755</t>
        </is>
      </c>
    </row>
    <row r="619">
      <c r="A619" t="inlineStr">
        <is>
          <t>2026-08-19</t>
        </is>
      </c>
      <c r="B619" t="inlineStr">
        <is>
          <t>III Liga - Group 2</t>
        </is>
      </c>
      <c r="C619" t="inlineStr">
        <is>
          <t>Wda Świecie</t>
        </is>
      </c>
      <c r="D619" t="inlineStr">
        <is>
          <t>LOCAL</t>
        </is>
      </c>
      <c r="E619" t="inlineStr">
        <is>
          <t>Grom Nowy Staw</t>
        </is>
      </c>
      <c r="P619" t="inlineStr">
        <is>
          <t>fixture_id=1568756</t>
        </is>
      </c>
    </row>
    <row r="620">
      <c r="A620" t="inlineStr">
        <is>
          <t>2026-08-19</t>
        </is>
      </c>
      <c r="B620" t="inlineStr">
        <is>
          <t>III Liga - Group 1</t>
        </is>
      </c>
      <c r="C620" t="inlineStr">
        <is>
          <t>Polonia Lidzbark Warm.</t>
        </is>
      </c>
      <c r="D620" t="inlineStr">
        <is>
          <t>LOCAL</t>
        </is>
      </c>
      <c r="E620" t="inlineStr">
        <is>
          <t>Olimpia Zambrów</t>
        </is>
      </c>
      <c r="P620" t="inlineStr">
        <is>
          <t>fixture_id=1569055</t>
        </is>
      </c>
    </row>
    <row r="621">
      <c r="A621" t="inlineStr">
        <is>
          <t>2026-08-19</t>
        </is>
      </c>
      <c r="B621" t="inlineStr">
        <is>
          <t>III Liga - Group 1</t>
        </is>
      </c>
      <c r="C621" t="inlineStr">
        <is>
          <t>Mławianka Mława</t>
        </is>
      </c>
      <c r="D621" t="inlineStr">
        <is>
          <t>LOCAL</t>
        </is>
      </c>
      <c r="E621" t="inlineStr">
        <is>
          <t>Lechia T. Mazowiecki</t>
        </is>
      </c>
      <c r="P621" t="inlineStr">
        <is>
          <t>fixture_id=1569057</t>
        </is>
      </c>
    </row>
    <row r="622">
      <c r="A622" t="inlineStr">
        <is>
          <t>2026-08-19</t>
        </is>
      </c>
      <c r="B622" t="inlineStr">
        <is>
          <t>III Liga - Group 1</t>
        </is>
      </c>
      <c r="C622" t="inlineStr">
        <is>
          <t>Olimpia Elbląg</t>
        </is>
      </c>
      <c r="D622" t="inlineStr">
        <is>
          <t>LOCAL</t>
        </is>
      </c>
      <c r="E622" t="inlineStr">
        <is>
          <t>Widzew II</t>
        </is>
      </c>
      <c r="P622" t="inlineStr">
        <is>
          <t>fixture_id=1569058</t>
        </is>
      </c>
    </row>
    <row r="623">
      <c r="A623" t="inlineStr">
        <is>
          <t>2026-08-19</t>
        </is>
      </c>
      <c r="B623" t="inlineStr">
        <is>
          <t>III Liga - Group 1</t>
        </is>
      </c>
      <c r="C623" t="inlineStr">
        <is>
          <t>Wisła Płock II</t>
        </is>
      </c>
      <c r="D623" t="inlineStr">
        <is>
          <t>LOCAL</t>
        </is>
      </c>
      <c r="E623" t="inlineStr">
        <is>
          <t>Łomża</t>
        </is>
      </c>
      <c r="P623" t="inlineStr">
        <is>
          <t>fixture_id=1569059</t>
        </is>
      </c>
    </row>
    <row r="624">
      <c r="A624" t="inlineStr">
        <is>
          <t>2026-08-19</t>
        </is>
      </c>
      <c r="B624" t="inlineStr">
        <is>
          <t>III Liga - Group 1</t>
        </is>
      </c>
      <c r="C624" t="inlineStr">
        <is>
          <t>Troszyn</t>
        </is>
      </c>
      <c r="D624" t="inlineStr">
        <is>
          <t>LOCAL</t>
        </is>
      </c>
      <c r="E624" t="inlineStr">
        <is>
          <t>Warta Sieradz</t>
        </is>
      </c>
      <c r="P624" t="inlineStr">
        <is>
          <t>fixture_id=1569061</t>
        </is>
      </c>
    </row>
    <row r="625">
      <c r="A625" t="inlineStr">
        <is>
          <t>2026-08-19</t>
        </is>
      </c>
      <c r="B625" t="inlineStr">
        <is>
          <t>III Liga - Group 1</t>
        </is>
      </c>
      <c r="C625" t="inlineStr">
        <is>
          <t>Ząbkovia Ząbki</t>
        </is>
      </c>
      <c r="D625" t="inlineStr">
        <is>
          <t>LOCAL</t>
        </is>
      </c>
      <c r="E625" t="inlineStr">
        <is>
          <t>Wigry Suwałki</t>
        </is>
      </c>
      <c r="P625" t="inlineStr">
        <is>
          <t>fixture_id=1569062</t>
        </is>
      </c>
    </row>
    <row r="626">
      <c r="A626" t="inlineStr">
        <is>
          <t>2026-08-19</t>
        </is>
      </c>
      <c r="B626" t="inlineStr">
        <is>
          <t>First League</t>
        </is>
      </c>
      <c r="C626" t="inlineStr">
        <is>
          <t>KAMAZ</t>
        </is>
      </c>
      <c r="D626" t="inlineStr">
        <is>
          <t>LOCAL</t>
        </is>
      </c>
      <c r="E626" t="inlineStr">
        <is>
          <t>Tekstilshchik</t>
        </is>
      </c>
      <c r="P626" t="inlineStr">
        <is>
          <t>fixture_id=1577488</t>
        </is>
      </c>
    </row>
    <row r="627">
      <c r="A627" t="inlineStr">
        <is>
          <t>2026-08-19</t>
        </is>
      </c>
      <c r="B627" t="inlineStr">
        <is>
          <t>U19 Bundesliga</t>
        </is>
      </c>
      <c r="C627" t="inlineStr">
        <is>
          <t>Saarbrücken U19</t>
        </is>
      </c>
      <c r="D627" t="inlineStr">
        <is>
          <t>LOCAL</t>
        </is>
      </c>
      <c r="E627" t="inlineStr">
        <is>
          <t>Viktoria Köln U19</t>
        </is>
      </c>
      <c r="P627" t="inlineStr">
        <is>
          <t>fixture_id=1595550</t>
        </is>
      </c>
    </row>
    <row r="628">
      <c r="A628" t="inlineStr">
        <is>
          <t>2026-08-19</t>
        </is>
      </c>
      <c r="B628" t="inlineStr">
        <is>
          <t>First League</t>
        </is>
      </c>
      <c r="C628" t="inlineStr">
        <is>
          <t>Banants II</t>
        </is>
      </c>
      <c r="D628" t="inlineStr">
        <is>
          <t>LOCAL</t>
        </is>
      </c>
      <c r="E628" t="inlineStr">
        <is>
          <t>BKMA II</t>
        </is>
      </c>
      <c r="P628" t="inlineStr">
        <is>
          <t>fixture_id=1605057</t>
        </is>
      </c>
    </row>
    <row r="629">
      <c r="A629" t="inlineStr">
        <is>
          <t>2026-08-19</t>
        </is>
      </c>
      <c r="B629" t="inlineStr">
        <is>
          <t>Cup</t>
        </is>
      </c>
      <c r="C629" t="inlineStr">
        <is>
          <t>Jednota Bánová</t>
        </is>
      </c>
      <c r="D629" t="inlineStr">
        <is>
          <t>LOCAL</t>
        </is>
      </c>
      <c r="E629" t="inlineStr">
        <is>
          <t>AS Trencin</t>
        </is>
      </c>
      <c r="P629" t="inlineStr">
        <is>
          <t>fixture_id=1606104</t>
        </is>
      </c>
    </row>
    <row r="630">
      <c r="A630" t="inlineStr">
        <is>
          <t>2026-08-19</t>
        </is>
      </c>
      <c r="B630" t="inlineStr">
        <is>
          <t>Cup</t>
        </is>
      </c>
      <c r="C630" t="inlineStr">
        <is>
          <t>Lovca</t>
        </is>
      </c>
      <c r="D630" t="inlineStr">
        <is>
          <t>LOCAL</t>
        </is>
      </c>
      <c r="E630" t="inlineStr">
        <is>
          <t>Dukla Banská Bystrica</t>
        </is>
      </c>
      <c r="P630" t="inlineStr">
        <is>
          <t>fixture_id=1606105</t>
        </is>
      </c>
    </row>
    <row r="631">
      <c r="A631" t="inlineStr">
        <is>
          <t>2026-08-19</t>
        </is>
      </c>
      <c r="B631" t="inlineStr">
        <is>
          <t>Cup</t>
        </is>
      </c>
      <c r="C631" t="inlineStr">
        <is>
          <t>Jakubov</t>
        </is>
      </c>
      <c r="D631" t="inlineStr">
        <is>
          <t>LOCAL</t>
        </is>
      </c>
      <c r="E631" t="inlineStr">
        <is>
          <t>Inter Bratislava</t>
        </is>
      </c>
      <c r="P631" t="inlineStr">
        <is>
          <t>fixture_id=1610627</t>
        </is>
      </c>
    </row>
    <row r="632">
      <c r="A632" t="inlineStr">
        <is>
          <t>2026-08-19</t>
        </is>
      </c>
      <c r="B632" t="inlineStr">
        <is>
          <t>Cup</t>
        </is>
      </c>
      <c r="C632" t="inlineStr">
        <is>
          <t>Nové Mesto nad Váhom</t>
        </is>
      </c>
      <c r="D632" t="inlineStr">
        <is>
          <t>LOCAL</t>
        </is>
      </c>
      <c r="E632" t="inlineStr">
        <is>
          <t>Skalica</t>
        </is>
      </c>
      <c r="P632" t="inlineStr">
        <is>
          <t>fixture_id=1610972</t>
        </is>
      </c>
    </row>
    <row r="633">
      <c r="A633" t="inlineStr">
        <is>
          <t>2026-08-19</t>
        </is>
      </c>
      <c r="B633" t="inlineStr">
        <is>
          <t>Cup</t>
        </is>
      </c>
      <c r="C633" t="inlineStr">
        <is>
          <t>Bernolákovo</t>
        </is>
      </c>
      <c r="D633" t="inlineStr">
        <is>
          <t>LOCAL</t>
        </is>
      </c>
      <c r="E633" t="inlineStr">
        <is>
          <t>Rača</t>
        </is>
      </c>
      <c r="P633" t="inlineStr">
        <is>
          <t>fixture_id=1610973</t>
        </is>
      </c>
    </row>
    <row r="634">
      <c r="A634" t="inlineStr">
        <is>
          <t>2026-08-19</t>
        </is>
      </c>
      <c r="B634" t="inlineStr">
        <is>
          <t>Cup</t>
        </is>
      </c>
      <c r="C634" t="inlineStr">
        <is>
          <t>Sokol Borský Mikuláš</t>
        </is>
      </c>
      <c r="D634" t="inlineStr">
        <is>
          <t>LOCAL</t>
        </is>
      </c>
      <c r="E634" t="inlineStr">
        <is>
          <t>Beluša</t>
        </is>
      </c>
      <c r="P634" t="inlineStr">
        <is>
          <t>fixture_id=1610975</t>
        </is>
      </c>
    </row>
    <row r="635">
      <c r="A635" t="inlineStr">
        <is>
          <t>2026-08-19</t>
        </is>
      </c>
      <c r="B635" t="inlineStr">
        <is>
          <t>Cup</t>
        </is>
      </c>
      <c r="C635" t="inlineStr">
        <is>
          <t>Brezno</t>
        </is>
      </c>
      <c r="D635" t="inlineStr">
        <is>
          <t>LOCAL</t>
        </is>
      </c>
      <c r="E635" t="inlineStr">
        <is>
          <t>Baník Kalinovo</t>
        </is>
      </c>
      <c r="P635" t="inlineStr">
        <is>
          <t>fixture_id=1610976</t>
        </is>
      </c>
    </row>
    <row r="636">
      <c r="A636" t="inlineStr">
        <is>
          <t>2026-08-19</t>
        </is>
      </c>
      <c r="B636" t="inlineStr">
        <is>
          <t>Cup</t>
        </is>
      </c>
      <c r="C636" t="inlineStr">
        <is>
          <t>Cicarovce</t>
        </is>
      </c>
      <c r="D636" t="inlineStr">
        <is>
          <t>LOCAL</t>
        </is>
      </c>
      <c r="E636" t="inlineStr">
        <is>
          <t>MSK Tesla Stropkov</t>
        </is>
      </c>
      <c r="P636" t="inlineStr">
        <is>
          <t>fixture_id=1610977</t>
        </is>
      </c>
    </row>
    <row r="637">
      <c r="A637" t="inlineStr">
        <is>
          <t>2026-08-19</t>
        </is>
      </c>
      <c r="B637" t="inlineStr">
        <is>
          <t>Cup</t>
        </is>
      </c>
      <c r="C637" t="inlineStr">
        <is>
          <t>Družstevník Čirč</t>
        </is>
      </c>
      <c r="D637" t="inlineStr">
        <is>
          <t>LOCAL</t>
        </is>
      </c>
      <c r="E637" t="inlineStr">
        <is>
          <t>Tatran Prešov</t>
        </is>
      </c>
      <c r="P637" t="inlineStr">
        <is>
          <t>fixture_id=1610979</t>
        </is>
      </c>
    </row>
    <row r="638">
      <c r="A638" t="inlineStr">
        <is>
          <t>2026-08-19</t>
        </is>
      </c>
      <c r="B638" t="inlineStr">
        <is>
          <t>Cup</t>
        </is>
      </c>
      <c r="C638" t="inlineStr">
        <is>
          <t>Dynamo Diviaky</t>
        </is>
      </c>
      <c r="D638" t="inlineStr">
        <is>
          <t>LOCAL</t>
        </is>
      </c>
      <c r="E638" t="inlineStr">
        <is>
          <t>Nová Baňa</t>
        </is>
      </c>
      <c r="P638" t="inlineStr">
        <is>
          <t>fixture_id=1610980</t>
        </is>
      </c>
    </row>
    <row r="639">
      <c r="A639" t="inlineStr">
        <is>
          <t>2026-08-19</t>
        </is>
      </c>
      <c r="B639" t="inlineStr">
        <is>
          <t>Cup</t>
        </is>
      </c>
      <c r="C639" t="inlineStr">
        <is>
          <t>Čaňa</t>
        </is>
      </c>
      <c r="D639" t="inlineStr">
        <is>
          <t>LOCAL</t>
        </is>
      </c>
      <c r="E639" t="inlineStr">
        <is>
          <t>Lokomotíva Košice</t>
        </is>
      </c>
      <c r="P639" t="inlineStr">
        <is>
          <t>fixture_id=1610982</t>
        </is>
      </c>
    </row>
    <row r="640">
      <c r="A640" t="inlineStr">
        <is>
          <t>2026-08-19</t>
        </is>
      </c>
      <c r="B640" t="inlineStr">
        <is>
          <t>Cup</t>
        </is>
      </c>
      <c r="C640" t="inlineStr">
        <is>
          <t>Hronec</t>
        </is>
      </c>
      <c r="D640" t="inlineStr">
        <is>
          <t>LOCAL</t>
        </is>
      </c>
      <c r="E640" t="inlineStr">
        <is>
          <t>Fiľakovo</t>
        </is>
      </c>
      <c r="P640" t="inlineStr">
        <is>
          <t>fixture_id=1610986</t>
        </is>
      </c>
    </row>
    <row r="641">
      <c r="A641" t="inlineStr">
        <is>
          <t>2026-08-19</t>
        </is>
      </c>
      <c r="B641" t="inlineStr">
        <is>
          <t>Cup</t>
        </is>
      </c>
      <c r="C641" t="inlineStr">
        <is>
          <t>Holíč</t>
        </is>
      </c>
      <c r="D641" t="inlineStr">
        <is>
          <t>LOCAL</t>
        </is>
      </c>
      <c r="E641" t="inlineStr">
        <is>
          <t>Spartak Myjava</t>
        </is>
      </c>
      <c r="P641" t="inlineStr">
        <is>
          <t>fixture_id=1610987</t>
        </is>
      </c>
    </row>
    <row r="642">
      <c r="A642" t="inlineStr">
        <is>
          <t>2026-08-19</t>
        </is>
      </c>
      <c r="B642" t="inlineStr">
        <is>
          <t>Cup</t>
        </is>
      </c>
      <c r="C642" t="inlineStr">
        <is>
          <t>Jelka</t>
        </is>
      </c>
      <c r="D642" t="inlineStr">
        <is>
          <t>LOCAL</t>
        </is>
      </c>
      <c r="E642" t="inlineStr">
        <is>
          <t>Kostolné Kračany</t>
        </is>
      </c>
      <c r="P642" t="inlineStr">
        <is>
          <t>fixture_id=1610988</t>
        </is>
      </c>
    </row>
    <row r="643">
      <c r="A643" t="inlineStr">
        <is>
          <t>2026-08-19</t>
        </is>
      </c>
      <c r="B643" t="inlineStr">
        <is>
          <t>Cup</t>
        </is>
      </c>
      <c r="C643" t="inlineStr">
        <is>
          <t>Kopčany</t>
        </is>
      </c>
      <c r="D643" t="inlineStr">
        <is>
          <t>LOCAL</t>
        </is>
      </c>
      <c r="E643" t="inlineStr">
        <is>
          <t>Piešťany</t>
        </is>
      </c>
      <c r="P643" t="inlineStr">
        <is>
          <t>fixture_id=1610989</t>
        </is>
      </c>
    </row>
    <row r="644">
      <c r="A644" t="inlineStr">
        <is>
          <t>2026-08-19</t>
        </is>
      </c>
      <c r="B644" t="inlineStr">
        <is>
          <t>Cup</t>
        </is>
      </c>
      <c r="C644" t="inlineStr">
        <is>
          <t>Kysučan Korňa</t>
        </is>
      </c>
      <c r="D644" t="inlineStr">
        <is>
          <t>LOCAL</t>
        </is>
      </c>
      <c r="E644" t="inlineStr">
        <is>
          <t>Čadca</t>
        </is>
      </c>
      <c r="P644" t="inlineStr">
        <is>
          <t>fixture_id=1610990</t>
        </is>
      </c>
    </row>
    <row r="645">
      <c r="A645" t="inlineStr">
        <is>
          <t>2026-08-19</t>
        </is>
      </c>
      <c r="B645" t="inlineStr">
        <is>
          <t>Cup</t>
        </is>
      </c>
      <c r="C645" t="inlineStr">
        <is>
          <t>Kováčová</t>
        </is>
      </c>
      <c r="D645" t="inlineStr">
        <is>
          <t>LOCAL</t>
        </is>
      </c>
      <c r="E645" t="inlineStr">
        <is>
          <t>Lokomotíva Zvolen</t>
        </is>
      </c>
      <c r="P645" t="inlineStr">
        <is>
          <t>fixture_id=1610991</t>
        </is>
      </c>
    </row>
    <row r="646">
      <c r="A646" t="inlineStr">
        <is>
          <t>2026-08-19</t>
        </is>
      </c>
      <c r="B646" t="inlineStr">
        <is>
          <t>Cup</t>
        </is>
      </c>
      <c r="C646" t="inlineStr">
        <is>
          <t>Kovarce</t>
        </is>
      </c>
      <c r="D646" t="inlineStr">
        <is>
          <t>LOCAL</t>
        </is>
      </c>
      <c r="E646" t="inlineStr">
        <is>
          <t>Slovan Duslo Šaľa</t>
        </is>
      </c>
      <c r="P646" t="inlineStr">
        <is>
          <t>fixture_id=1610992</t>
        </is>
      </c>
    </row>
    <row r="647">
      <c r="A647" t="inlineStr">
        <is>
          <t>2026-08-19</t>
        </is>
      </c>
      <c r="B647" t="inlineStr">
        <is>
          <t>Cup</t>
        </is>
      </c>
      <c r="C647" t="inlineStr">
        <is>
          <t>Tatran Krásno</t>
        </is>
      </c>
      <c r="D647" t="inlineStr">
        <is>
          <t>LOCAL</t>
        </is>
      </c>
      <c r="E647" t="inlineStr">
        <is>
          <t>Podkonice</t>
        </is>
      </c>
      <c r="P647" t="inlineStr">
        <is>
          <t>fixture_id=1610993</t>
        </is>
      </c>
    </row>
    <row r="648">
      <c r="A648" t="inlineStr">
        <is>
          <t>2026-08-19</t>
        </is>
      </c>
      <c r="B648" t="inlineStr">
        <is>
          <t>Cup</t>
        </is>
      </c>
      <c r="C648" t="inlineStr">
        <is>
          <t>Spartak Kvašov</t>
        </is>
      </c>
      <c r="D648" t="inlineStr">
        <is>
          <t>LOCAL</t>
        </is>
      </c>
      <c r="E648" t="inlineStr">
        <is>
          <t>Fomat Martin</t>
        </is>
      </c>
      <c r="P648" t="inlineStr">
        <is>
          <t>fixture_id=1610994</t>
        </is>
      </c>
    </row>
    <row r="649">
      <c r="A649" t="inlineStr">
        <is>
          <t>2026-08-19</t>
        </is>
      </c>
      <c r="B649" t="inlineStr">
        <is>
          <t>Cup</t>
        </is>
      </c>
      <c r="C649" t="inlineStr">
        <is>
          <t>Slovan Vavrečka</t>
        </is>
      </c>
      <c r="D649" t="inlineStr">
        <is>
          <t>LOCAL</t>
        </is>
      </c>
      <c r="E649" t="inlineStr">
        <is>
          <t>Tvrdošín</t>
        </is>
      </c>
      <c r="P649" t="inlineStr">
        <is>
          <t>fixture_id=1610995</t>
        </is>
      </c>
    </row>
    <row r="650">
      <c r="A650" t="inlineStr">
        <is>
          <t>2026-08-19</t>
        </is>
      </c>
      <c r="B650" t="inlineStr">
        <is>
          <t>Cup</t>
        </is>
      </c>
      <c r="C650" t="inlineStr">
        <is>
          <t>Dolné Krškany</t>
        </is>
      </c>
      <c r="D650" t="inlineStr">
        <is>
          <t>LOCAL</t>
        </is>
      </c>
      <c r="E650" t="inlineStr">
        <is>
          <t>Nitra</t>
        </is>
      </c>
      <c r="P650" t="inlineStr">
        <is>
          <t>fixture_id=1610997</t>
        </is>
      </c>
    </row>
    <row r="651">
      <c r="A651" t="inlineStr">
        <is>
          <t>2026-08-19</t>
        </is>
      </c>
      <c r="B651" t="inlineStr">
        <is>
          <t>Cup</t>
        </is>
      </c>
      <c r="C651" t="inlineStr">
        <is>
          <t>Nová Dedinka</t>
        </is>
      </c>
      <c r="D651" t="inlineStr">
        <is>
          <t>LOCAL</t>
        </is>
      </c>
      <c r="E651" t="inlineStr">
        <is>
          <t>Petržalka</t>
        </is>
      </c>
      <c r="P651" t="inlineStr">
        <is>
          <t>fixture_id=1610998</t>
        </is>
      </c>
    </row>
    <row r="652">
      <c r="A652" t="inlineStr">
        <is>
          <t>2026-08-19</t>
        </is>
      </c>
      <c r="B652" t="inlineStr">
        <is>
          <t>Cup</t>
        </is>
      </c>
      <c r="C652" t="inlineStr">
        <is>
          <t>Oravan</t>
        </is>
      </c>
      <c r="D652" t="inlineStr">
        <is>
          <t>LOCAL</t>
        </is>
      </c>
      <c r="E652" t="inlineStr">
        <is>
          <t>Považská Bystrica</t>
        </is>
      </c>
      <c r="P652" t="inlineStr">
        <is>
          <t>fixture_id=1610999</t>
        </is>
      </c>
    </row>
    <row r="653">
      <c r="A653" t="inlineStr">
        <is>
          <t>2026-08-19</t>
        </is>
      </c>
      <c r="B653" t="inlineStr">
        <is>
          <t>Cup</t>
        </is>
      </c>
      <c r="C653" t="inlineStr">
        <is>
          <t>Ostrovany</t>
        </is>
      </c>
      <c r="D653" t="inlineStr">
        <is>
          <t>LOCAL</t>
        </is>
      </c>
      <c r="E653" t="inlineStr">
        <is>
          <t>Slovan Kendice</t>
        </is>
      </c>
      <c r="P653" t="inlineStr">
        <is>
          <t>fixture_id=1611000</t>
        </is>
      </c>
    </row>
    <row r="654">
      <c r="A654" t="inlineStr">
        <is>
          <t>2026-08-19</t>
        </is>
      </c>
      <c r="B654" t="inlineStr">
        <is>
          <t>Cup</t>
        </is>
      </c>
      <c r="C654" t="inlineStr">
        <is>
          <t>Raslavice</t>
        </is>
      </c>
      <c r="D654" t="inlineStr">
        <is>
          <t>LOCAL</t>
        </is>
      </c>
      <c r="E654" t="inlineStr">
        <is>
          <t>FK Košice</t>
        </is>
      </c>
      <c r="P654" t="inlineStr">
        <is>
          <t>fixture_id=1611004</t>
        </is>
      </c>
    </row>
    <row r="655">
      <c r="A655" t="inlineStr">
        <is>
          <t>2026-08-19</t>
        </is>
      </c>
      <c r="B655" t="inlineStr">
        <is>
          <t>Cup</t>
        </is>
      </c>
      <c r="C655" t="inlineStr">
        <is>
          <t>Rohožník</t>
        </is>
      </c>
      <c r="D655" t="inlineStr">
        <is>
          <t>LOCAL</t>
        </is>
      </c>
      <c r="E655" t="inlineStr">
        <is>
          <t>Šamorín</t>
        </is>
      </c>
      <c r="P655" t="inlineStr">
        <is>
          <t>fixture_id=1611005</t>
        </is>
      </c>
    </row>
    <row r="656">
      <c r="A656" t="inlineStr">
        <is>
          <t>2026-08-19</t>
        </is>
      </c>
      <c r="B656" t="inlineStr">
        <is>
          <t>Cup</t>
        </is>
      </c>
      <c r="C656" t="inlineStr">
        <is>
          <t>Rosina</t>
        </is>
      </c>
      <c r="D656" t="inlineStr">
        <is>
          <t>LOCAL</t>
        </is>
      </c>
      <c r="E656" t="inlineStr">
        <is>
          <t>MFK Bytča</t>
        </is>
      </c>
      <c r="P656" t="inlineStr">
        <is>
          <t>fixture_id=1611006</t>
        </is>
      </c>
    </row>
    <row r="657">
      <c r="A657" t="inlineStr">
        <is>
          <t>2026-08-19</t>
        </is>
      </c>
      <c r="B657" t="inlineStr">
        <is>
          <t>Cup</t>
        </is>
      </c>
      <c r="C657" t="inlineStr">
        <is>
          <t>Rovnost Krajne</t>
        </is>
      </c>
      <c r="D657" t="inlineStr">
        <is>
          <t>LOCAL</t>
        </is>
      </c>
      <c r="E657" t="inlineStr">
        <is>
          <t>Púchov</t>
        </is>
      </c>
      <c r="P657" t="inlineStr">
        <is>
          <t>fixture_id=1611007</t>
        </is>
      </c>
    </row>
    <row r="658">
      <c r="A658" t="inlineStr">
        <is>
          <t>2026-08-19</t>
        </is>
      </c>
      <c r="B658" t="inlineStr">
        <is>
          <t>Cup</t>
        </is>
      </c>
      <c r="C658" t="inlineStr">
        <is>
          <t>Rožňava</t>
        </is>
      </c>
      <c r="D658" t="inlineStr">
        <is>
          <t>LOCAL</t>
        </is>
      </c>
      <c r="E658" t="inlineStr">
        <is>
          <t>Spartak Medzev</t>
        </is>
      </c>
      <c r="P658" t="inlineStr">
        <is>
          <t>fixture_id=1611008</t>
        </is>
      </c>
    </row>
    <row r="659">
      <c r="A659" t="inlineStr">
        <is>
          <t>2026-08-19</t>
        </is>
      </c>
      <c r="B659" t="inlineStr">
        <is>
          <t>Cup</t>
        </is>
      </c>
      <c r="C659" t="inlineStr">
        <is>
          <t>Rudňany</t>
        </is>
      </c>
      <c r="D659" t="inlineStr">
        <is>
          <t>LOCAL</t>
        </is>
      </c>
      <c r="E659" t="inlineStr">
        <is>
          <t>Podbrezová</t>
        </is>
      </c>
      <c r="P659" t="inlineStr">
        <is>
          <t>fixture_id=1611009</t>
        </is>
      </c>
    </row>
    <row r="660">
      <c r="A660" t="inlineStr">
        <is>
          <t>2026-08-19</t>
        </is>
      </c>
      <c r="B660" t="inlineStr">
        <is>
          <t>Cup</t>
        </is>
      </c>
      <c r="C660" t="inlineStr">
        <is>
          <t>Šenkvice</t>
        </is>
      </c>
      <c r="D660" t="inlineStr">
        <is>
          <t>LOCAL</t>
        </is>
      </c>
      <c r="E660" t="inlineStr">
        <is>
          <t>Dunajská Lužná</t>
        </is>
      </c>
      <c r="P660" t="inlineStr">
        <is>
          <t>fixture_id=1611010</t>
        </is>
      </c>
    </row>
    <row r="661">
      <c r="A661" t="inlineStr">
        <is>
          <t>2026-08-19</t>
        </is>
      </c>
      <c r="B661" t="inlineStr">
        <is>
          <t>Cup</t>
        </is>
      </c>
      <c r="C661" t="inlineStr">
        <is>
          <t>Šoporňa</t>
        </is>
      </c>
      <c r="D661" t="inlineStr">
        <is>
          <t>LOCAL</t>
        </is>
      </c>
      <c r="E661" t="inlineStr">
        <is>
          <t>Malženice</t>
        </is>
      </c>
      <c r="P661" t="inlineStr">
        <is>
          <t>fixture_id=1611013</t>
        </is>
      </c>
    </row>
    <row r="662">
      <c r="A662" t="inlineStr">
        <is>
          <t>2026-08-19</t>
        </is>
      </c>
      <c r="B662" t="inlineStr">
        <is>
          <t>Cup</t>
        </is>
      </c>
      <c r="C662" t="inlineStr">
        <is>
          <t>Svätý Jur</t>
        </is>
      </c>
      <c r="D662" t="inlineStr">
        <is>
          <t>LOCAL</t>
        </is>
      </c>
      <c r="E662" t="inlineStr">
        <is>
          <t>Malinovo</t>
        </is>
      </c>
      <c r="P662" t="inlineStr">
        <is>
          <t>fixture_id=1611016</t>
        </is>
      </c>
    </row>
    <row r="663">
      <c r="A663" t="inlineStr">
        <is>
          <t>2026-08-19</t>
        </is>
      </c>
      <c r="B663" t="inlineStr">
        <is>
          <t>Cup</t>
        </is>
      </c>
      <c r="C663" t="inlineStr">
        <is>
          <t>Svaty Peter</t>
        </is>
      </c>
      <c r="D663" t="inlineStr">
        <is>
          <t>LOCAL</t>
        </is>
      </c>
      <c r="E663" t="inlineStr">
        <is>
          <t>Dunajska Streda</t>
        </is>
      </c>
      <c r="P663" t="inlineStr">
        <is>
          <t>fixture_id=1611017</t>
        </is>
      </c>
    </row>
    <row r="664">
      <c r="A664" t="inlineStr">
        <is>
          <t>2026-08-19</t>
        </is>
      </c>
      <c r="B664" t="inlineStr">
        <is>
          <t>Cup</t>
        </is>
      </c>
      <c r="C664" t="inlineStr">
        <is>
          <t>Tomášov</t>
        </is>
      </c>
      <c r="D664" t="inlineStr">
        <is>
          <t>LOCAL</t>
        </is>
      </c>
      <c r="E664" t="inlineStr">
        <is>
          <t>Gabčíkovo</t>
        </is>
      </c>
      <c r="P664" t="inlineStr">
        <is>
          <t>fixture_id=1611020</t>
        </is>
      </c>
    </row>
    <row r="665">
      <c r="A665" t="inlineStr">
        <is>
          <t>2026-08-19</t>
        </is>
      </c>
      <c r="B665" t="inlineStr">
        <is>
          <t>Cup</t>
        </is>
      </c>
      <c r="C665" t="inlineStr">
        <is>
          <t>Trebatice</t>
        </is>
      </c>
      <c r="D665" t="inlineStr">
        <is>
          <t>LOCAL</t>
        </is>
      </c>
      <c r="E665" t="inlineStr">
        <is>
          <t>Boleráz</t>
        </is>
      </c>
      <c r="P665" t="inlineStr">
        <is>
          <t>fixture_id=1611023</t>
        </is>
      </c>
    </row>
    <row r="666">
      <c r="A666" t="inlineStr">
        <is>
          <t>2026-08-19</t>
        </is>
      </c>
      <c r="B666" t="inlineStr">
        <is>
          <t>Cup</t>
        </is>
      </c>
      <c r="C666" t="inlineStr">
        <is>
          <t>Vinohrad Čebovce</t>
        </is>
      </c>
      <c r="D666" t="inlineStr">
        <is>
          <t>LOCAL</t>
        </is>
      </c>
      <c r="E666" t="inlineStr">
        <is>
          <t>Druzstevnik Latky</t>
        </is>
      </c>
      <c r="P666" t="inlineStr">
        <is>
          <t>fixture_id=1611024</t>
        </is>
      </c>
    </row>
    <row r="667">
      <c r="A667" t="inlineStr">
        <is>
          <t>2026-08-19</t>
        </is>
      </c>
      <c r="B667" t="inlineStr">
        <is>
          <t>Cup</t>
        </is>
      </c>
      <c r="C667" t="inlineStr">
        <is>
          <t>Vycapy Opatovce</t>
        </is>
      </c>
      <c r="D667" t="inlineStr">
        <is>
          <t>LOCAL</t>
        </is>
      </c>
      <c r="E667" t="inlineStr">
        <is>
          <t>Galanta</t>
        </is>
      </c>
      <c r="P667" t="inlineStr">
        <is>
          <t>fixture_id=1611026</t>
        </is>
      </c>
    </row>
    <row r="668">
      <c r="A668" t="inlineStr">
        <is>
          <t>2026-08-19</t>
        </is>
      </c>
      <c r="B668" t="inlineStr">
        <is>
          <t>Cup</t>
        </is>
      </c>
      <c r="C668" t="inlineStr">
        <is>
          <t>Závažná Poruba</t>
        </is>
      </c>
      <c r="D668" t="inlineStr">
        <is>
          <t>LOCAL</t>
        </is>
      </c>
      <c r="E668" t="inlineStr">
        <is>
          <t>Kysucké Nové Mesto</t>
        </is>
      </c>
      <c r="P668" t="inlineStr">
        <is>
          <t>fixture_id=1611029</t>
        </is>
      </c>
    </row>
    <row r="669">
      <c r="A669" t="inlineStr">
        <is>
          <t>2026-08-19</t>
        </is>
      </c>
      <c r="B669" t="inlineStr">
        <is>
          <t>Cup</t>
        </is>
      </c>
      <c r="C669" t="inlineStr">
        <is>
          <t>Zitavany</t>
        </is>
      </c>
      <c r="D669" t="inlineStr">
        <is>
          <t>LOCAL</t>
        </is>
      </c>
      <c r="E669" t="inlineStr">
        <is>
          <t>Veľké Ludince</t>
        </is>
      </c>
      <c r="P669" t="inlineStr">
        <is>
          <t>fixture_id=1611030</t>
        </is>
      </c>
    </row>
    <row r="670">
      <c r="A670" t="inlineStr">
        <is>
          <t>2026-08-19</t>
        </is>
      </c>
      <c r="B670" t="inlineStr">
        <is>
          <t>Cup</t>
        </is>
      </c>
      <c r="C670" t="inlineStr">
        <is>
          <t>Kechnec</t>
        </is>
      </c>
      <c r="D670" t="inlineStr">
        <is>
          <t>LOCAL</t>
        </is>
      </c>
      <c r="E670" t="inlineStr">
        <is>
          <t>Slávia TU Košice</t>
        </is>
      </c>
      <c r="P670" t="inlineStr">
        <is>
          <t>fixture_id=1611317</t>
        </is>
      </c>
    </row>
    <row r="671">
      <c r="A671" t="inlineStr">
        <is>
          <t>2026-08-19</t>
        </is>
      </c>
      <c r="B671" t="inlineStr">
        <is>
          <t>Cup</t>
        </is>
      </c>
      <c r="C671" t="inlineStr">
        <is>
          <t>Hranovnica</t>
        </is>
      </c>
      <c r="D671" t="inlineStr">
        <is>
          <t>LOCAL</t>
        </is>
      </c>
      <c r="E671" t="inlineStr">
        <is>
          <t>Harichovce</t>
        </is>
      </c>
      <c r="P671" t="inlineStr">
        <is>
          <t>fixture_id=1611362</t>
        </is>
      </c>
    </row>
    <row r="672">
      <c r="A672" t="inlineStr">
        <is>
          <t>2026-08-19</t>
        </is>
      </c>
      <c r="B672" t="inlineStr">
        <is>
          <t>Friendlies Clubs</t>
        </is>
      </c>
      <c r="C672" t="inlineStr">
        <is>
          <t>Sampdoria U20</t>
        </is>
      </c>
      <c r="D672" t="inlineStr">
        <is>
          <t>LOCAL</t>
        </is>
      </c>
      <c r="E672" t="inlineStr">
        <is>
          <t>Sestri Levante</t>
        </is>
      </c>
      <c r="P672" t="inlineStr">
        <is>
          <t>fixture_id=1627012</t>
        </is>
      </c>
    </row>
    <row r="673">
      <c r="A673" t="inlineStr">
        <is>
          <t>2026-08-19</t>
        </is>
      </c>
      <c r="B673" t="inlineStr">
        <is>
          <t>Cup</t>
        </is>
      </c>
      <c r="C673" t="inlineStr">
        <is>
          <t>Slovan Tomášovce</t>
        </is>
      </c>
      <c r="D673" t="inlineStr">
        <is>
          <t>LOCAL</t>
        </is>
      </c>
      <c r="E673" t="inlineStr">
        <is>
          <t>Komárno</t>
        </is>
      </c>
      <c r="P673" t="inlineStr">
        <is>
          <t>fixture_id=1611021</t>
        </is>
      </c>
    </row>
    <row r="674">
      <c r="A674" t="inlineStr">
        <is>
          <t>2026-08-19</t>
        </is>
      </c>
      <c r="B674" t="inlineStr">
        <is>
          <t>Cup</t>
        </is>
      </c>
      <c r="C674" t="inlineStr">
        <is>
          <t>Rubin</t>
        </is>
      </c>
      <c r="D674" t="inlineStr">
        <is>
          <t>LOCAL</t>
        </is>
      </c>
      <c r="E674" t="inlineStr">
        <is>
          <t>Spartak Moscow</t>
        </is>
      </c>
      <c r="P674" t="inlineStr">
        <is>
          <t>fixture_id=1563650</t>
        </is>
      </c>
    </row>
    <row r="675">
      <c r="A675" t="inlineStr">
        <is>
          <t>2026-08-19</t>
        </is>
      </c>
      <c r="B675" t="inlineStr">
        <is>
          <t>III Liga - Group 2</t>
        </is>
      </c>
      <c r="C675" t="inlineStr">
        <is>
          <t>Kluczevia Stargard</t>
        </is>
      </c>
      <c r="D675" t="inlineStr">
        <is>
          <t>LOCAL</t>
        </is>
      </c>
      <c r="E675" t="inlineStr">
        <is>
          <t>Gedania Gdansk</t>
        </is>
      </c>
      <c r="P675" t="inlineStr">
        <is>
          <t>fixture_id=1568750</t>
        </is>
      </c>
    </row>
    <row r="676">
      <c r="A676" t="inlineStr">
        <is>
          <t>2026-08-19</t>
        </is>
      </c>
      <c r="B676" t="inlineStr">
        <is>
          <t>III Liga - Group 1</t>
        </is>
      </c>
      <c r="C676" t="inlineStr">
        <is>
          <t>Swit</t>
        </is>
      </c>
      <c r="D676" t="inlineStr">
        <is>
          <t>LOCAL</t>
        </is>
      </c>
      <c r="E676" t="inlineStr">
        <is>
          <t>Mazovia Minsk Mazowiecki</t>
        </is>
      </c>
      <c r="P676" t="inlineStr">
        <is>
          <t>fixture_id=1569060</t>
        </is>
      </c>
    </row>
    <row r="677">
      <c r="A677" t="inlineStr">
        <is>
          <t>2026-08-19</t>
        </is>
      </c>
      <c r="B677" t="inlineStr">
        <is>
          <t>NB III - Northeast</t>
        </is>
      </c>
      <c r="C677" t="inlineStr">
        <is>
          <t>Diósgyőr II</t>
        </is>
      </c>
      <c r="D677" t="inlineStr">
        <is>
          <t>LOCAL</t>
        </is>
      </c>
      <c r="E677" t="inlineStr">
        <is>
          <t>Debrecen II</t>
        </is>
      </c>
      <c r="P677" t="inlineStr">
        <is>
          <t>fixture_id=1593845</t>
        </is>
      </c>
    </row>
    <row r="678">
      <c r="A678" t="inlineStr">
        <is>
          <t>2026-08-19</t>
        </is>
      </c>
      <c r="B678" t="inlineStr">
        <is>
          <t>Cup</t>
        </is>
      </c>
      <c r="C678" t="inlineStr">
        <is>
          <t>Kozlovice</t>
        </is>
      </c>
      <c r="D678" t="inlineStr">
        <is>
          <t>LOCAL</t>
        </is>
      </c>
      <c r="E678" t="inlineStr">
        <is>
          <t>Slavičín</t>
        </is>
      </c>
      <c r="P678" t="inlineStr">
        <is>
          <t>fixture_id=1603447</t>
        </is>
      </c>
    </row>
    <row r="679">
      <c r="A679" t="inlineStr">
        <is>
          <t>2026-08-19</t>
        </is>
      </c>
      <c r="B679" t="inlineStr">
        <is>
          <t>Toppserien</t>
        </is>
      </c>
      <c r="C679" t="inlineStr">
        <is>
          <t>Vålerenga W</t>
        </is>
      </c>
      <c r="D679" t="inlineStr">
        <is>
          <t>LOCAL</t>
        </is>
      </c>
      <c r="E679" t="inlineStr">
        <is>
          <t>Hønefoss W</t>
        </is>
      </c>
      <c r="P679" t="inlineStr">
        <is>
          <t>fixture_id=1495377</t>
        </is>
      </c>
    </row>
    <row r="680">
      <c r="A680" t="inlineStr">
        <is>
          <t>2026-08-19</t>
        </is>
      </c>
      <c r="B680" t="inlineStr">
        <is>
          <t>Esiliiga B</t>
        </is>
      </c>
      <c r="C680" t="inlineStr">
        <is>
          <t>Levadia U19</t>
        </is>
      </c>
      <c r="D680" t="inlineStr">
        <is>
          <t>LOCAL</t>
        </is>
      </c>
      <c r="E680" t="inlineStr">
        <is>
          <t>Narva U21</t>
        </is>
      </c>
      <c r="P680" t="inlineStr">
        <is>
          <t>fixture_id=1521664</t>
        </is>
      </c>
    </row>
    <row r="681">
      <c r="A681" t="inlineStr">
        <is>
          <t>2026-08-19</t>
        </is>
      </c>
      <c r="B681" t="inlineStr">
        <is>
          <t>Premier League</t>
        </is>
      </c>
      <c r="C681" t="inlineStr">
        <is>
          <t>ML Vitebsk</t>
        </is>
      </c>
      <c r="D681" t="inlineStr">
        <is>
          <t>LOCAL</t>
        </is>
      </c>
      <c r="E681" t="inlineStr">
        <is>
          <t>Baranovichi</t>
        </is>
      </c>
      <c r="P681" t="inlineStr">
        <is>
          <t>fixture_id=1525949</t>
        </is>
      </c>
    </row>
    <row r="682">
      <c r="A682" t="inlineStr">
        <is>
          <t>2026-08-19</t>
        </is>
      </c>
      <c r="B682" t="inlineStr">
        <is>
          <t>Svenska Cupen</t>
        </is>
      </c>
      <c r="C682" t="inlineStr">
        <is>
          <t>Växjö Norra</t>
        </is>
      </c>
      <c r="D682" t="inlineStr">
        <is>
          <t>LOCAL</t>
        </is>
      </c>
      <c r="E682" t="inlineStr">
        <is>
          <t>IFK Varnamo</t>
        </is>
      </c>
      <c r="P682" t="inlineStr">
        <is>
          <t>fixture_id=1549144</t>
        </is>
      </c>
    </row>
    <row r="683">
      <c r="A683" t="inlineStr">
        <is>
          <t>2026-08-19</t>
        </is>
      </c>
      <c r="B683" t="inlineStr">
        <is>
          <t>Torneo Promocional Amateur</t>
        </is>
      </c>
      <c r="C683" t="inlineStr">
        <is>
          <t>Juventud de Bernal</t>
        </is>
      </c>
      <c r="D683" t="inlineStr">
        <is>
          <t>LOCAL</t>
        </is>
      </c>
      <c r="E683" t="inlineStr">
        <is>
          <t>SAT Moreno</t>
        </is>
      </c>
      <c r="P683" t="inlineStr">
        <is>
          <t>fixture_id=1549994</t>
        </is>
      </c>
    </row>
    <row r="684">
      <c r="A684" t="inlineStr">
        <is>
          <t>2026-08-19</t>
        </is>
      </c>
      <c r="B684" t="inlineStr">
        <is>
          <t>III Liga - Group 4</t>
        </is>
      </c>
      <c r="C684" t="inlineStr">
        <is>
          <t>Star Starachowice</t>
        </is>
      </c>
      <c r="D684" t="inlineStr">
        <is>
          <t>LOCAL</t>
        </is>
      </c>
      <c r="E684" t="inlineStr">
        <is>
          <t>Czarni Połaniec</t>
        </is>
      </c>
      <c r="P684" t="inlineStr">
        <is>
          <t>fixture_id=1568139</t>
        </is>
      </c>
    </row>
    <row r="685">
      <c r="A685" t="inlineStr">
        <is>
          <t>2026-08-19</t>
        </is>
      </c>
      <c r="B685" t="inlineStr">
        <is>
          <t>III Liga - Group 3</t>
        </is>
      </c>
      <c r="C685" t="inlineStr">
        <is>
          <t>ROW Rybnik</t>
        </is>
      </c>
      <c r="D685" t="inlineStr">
        <is>
          <t>LOCAL</t>
        </is>
      </c>
      <c r="E685" t="inlineStr">
        <is>
          <t>Carina Gubin</t>
        </is>
      </c>
      <c r="P685" t="inlineStr">
        <is>
          <t>fixture_id=1568446</t>
        </is>
      </c>
    </row>
    <row r="686">
      <c r="A686" t="inlineStr">
        <is>
          <t>2026-08-19</t>
        </is>
      </c>
      <c r="B686" t="inlineStr">
        <is>
          <t>III Liga - Group 3</t>
        </is>
      </c>
      <c r="C686" t="inlineStr">
        <is>
          <t>Zaglebie Sosnowiec</t>
        </is>
      </c>
      <c r="D686" t="inlineStr">
        <is>
          <t>LOCAL</t>
        </is>
      </c>
      <c r="E686" t="inlineStr">
        <is>
          <t>Ślęza Wrocław</t>
        </is>
      </c>
      <c r="P686" t="inlineStr">
        <is>
          <t>fixture_id=1568450</t>
        </is>
      </c>
    </row>
    <row r="687">
      <c r="A687" t="inlineStr">
        <is>
          <t>2026-08-19</t>
        </is>
      </c>
      <c r="B687" t="inlineStr">
        <is>
          <t>III Liga - Group 2</t>
        </is>
      </c>
      <c r="C687" t="inlineStr">
        <is>
          <t>Elana Toruń</t>
        </is>
      </c>
      <c r="D687" t="inlineStr">
        <is>
          <t>LOCAL</t>
        </is>
      </c>
      <c r="E687" t="inlineStr">
        <is>
          <t>Unia Swarzędz</t>
        </is>
      </c>
      <c r="P687" t="inlineStr">
        <is>
          <t>fixture_id=1568748</t>
        </is>
      </c>
    </row>
    <row r="688">
      <c r="A688" t="inlineStr">
        <is>
          <t>2026-08-19</t>
        </is>
      </c>
      <c r="B688" t="inlineStr">
        <is>
          <t>III Liga - Group 2</t>
        </is>
      </c>
      <c r="C688" t="inlineStr">
        <is>
          <t>Kotwica Kórnik</t>
        </is>
      </c>
      <c r="D688" t="inlineStr">
        <is>
          <t>LOCAL</t>
        </is>
      </c>
      <c r="E688" t="inlineStr">
        <is>
          <t>Bałtyk Koszalin</t>
        </is>
      </c>
      <c r="P688" t="inlineStr">
        <is>
          <t>fixture_id=1568751</t>
        </is>
      </c>
    </row>
    <row r="689">
      <c r="A689" t="inlineStr">
        <is>
          <t>2026-08-19</t>
        </is>
      </c>
      <c r="B689" t="inlineStr">
        <is>
          <t>U19 Bundesliga</t>
        </is>
      </c>
      <c r="C689" t="inlineStr">
        <is>
          <t>Rot-Weiß Erfurt U19</t>
        </is>
      </c>
      <c r="D689" t="inlineStr">
        <is>
          <t>LOCAL</t>
        </is>
      </c>
      <c r="E689" t="inlineStr">
        <is>
          <t>Nürnberg U19</t>
        </is>
      </c>
      <c r="P689" t="inlineStr">
        <is>
          <t>fixture_id=1595554</t>
        </is>
      </c>
    </row>
    <row r="690">
      <c r="A690" t="inlineStr">
        <is>
          <t>2026-08-19</t>
        </is>
      </c>
      <c r="B690" t="inlineStr">
        <is>
          <t>Ligi kuu Bara</t>
        </is>
      </c>
      <c r="C690" t="inlineStr">
        <is>
          <t>Kagera Sugar</t>
        </is>
      </c>
      <c r="D690" t="inlineStr">
        <is>
          <t>LOCAL</t>
        </is>
      </c>
      <c r="E690" t="inlineStr">
        <is>
          <t>Singida Black Stars</t>
        </is>
      </c>
      <c r="P690" t="inlineStr">
        <is>
          <t>fixture_id=1600744</t>
        </is>
      </c>
    </row>
    <row r="691">
      <c r="A691" t="inlineStr">
        <is>
          <t>2026-08-19</t>
        </is>
      </c>
      <c r="B691" t="inlineStr">
        <is>
          <t>Cup</t>
        </is>
      </c>
      <c r="C691" t="inlineStr">
        <is>
          <t>Hiiumaa</t>
        </is>
      </c>
      <c r="D691" t="inlineStr">
        <is>
          <t>LOCAL</t>
        </is>
      </c>
      <c r="E691" t="inlineStr">
        <is>
          <t>Nõmme United</t>
        </is>
      </c>
      <c r="P691" t="inlineStr">
        <is>
          <t>fixture_id=1605326</t>
        </is>
      </c>
    </row>
    <row r="692">
      <c r="A692" t="inlineStr">
        <is>
          <t>2026-08-19</t>
        </is>
      </c>
      <c r="B692" t="inlineStr">
        <is>
          <t>Cup</t>
        </is>
      </c>
      <c r="C692" t="inlineStr">
        <is>
          <t>Olympic</t>
        </is>
      </c>
      <c r="D692" t="inlineStr">
        <is>
          <t>LOCAL</t>
        </is>
      </c>
      <c r="E692" t="inlineStr">
        <is>
          <t>Saku Sporting</t>
        </is>
      </c>
      <c r="P692" t="inlineStr">
        <is>
          <t>fixture_id=1605331</t>
        </is>
      </c>
    </row>
    <row r="693">
      <c r="A693" t="inlineStr">
        <is>
          <t>2026-08-19</t>
        </is>
      </c>
      <c r="B693" t="inlineStr">
        <is>
          <t>Cup</t>
        </is>
      </c>
      <c r="C693" t="inlineStr">
        <is>
          <t>Keila</t>
        </is>
      </c>
      <c r="D693" t="inlineStr">
        <is>
          <t>LOCAL</t>
        </is>
      </c>
      <c r="E693" t="inlineStr">
        <is>
          <t>Flora III</t>
        </is>
      </c>
      <c r="P693" t="inlineStr">
        <is>
          <t>fixture_id=1607300</t>
        </is>
      </c>
    </row>
    <row r="694">
      <c r="A694" t="inlineStr">
        <is>
          <t>2026-08-19</t>
        </is>
      </c>
      <c r="B694" t="inlineStr">
        <is>
          <t>Cup</t>
        </is>
      </c>
      <c r="C694" t="inlineStr">
        <is>
          <t>Panserraikos</t>
        </is>
      </c>
      <c r="D694" t="inlineStr">
        <is>
          <t>LOCAL</t>
        </is>
      </c>
      <c r="E694" t="inlineStr">
        <is>
          <t>Panthrakikos</t>
        </is>
      </c>
      <c r="P694" t="inlineStr">
        <is>
          <t>fixture_id=1610821</t>
        </is>
      </c>
    </row>
    <row r="695">
      <c r="A695" t="inlineStr">
        <is>
          <t>2026-08-19</t>
        </is>
      </c>
      <c r="B695" t="inlineStr">
        <is>
          <t>Persian Gulf Pro League</t>
        </is>
      </c>
      <c r="C695" t="inlineStr">
        <is>
          <t>Fajr Sepasi</t>
        </is>
      </c>
      <c r="D695" t="inlineStr">
        <is>
          <t>LOCAL</t>
        </is>
      </c>
      <c r="E695" t="inlineStr">
        <is>
          <t>Sanat Naft</t>
        </is>
      </c>
      <c r="P695" t="inlineStr">
        <is>
          <t>fixture_id=1618224</t>
        </is>
      </c>
    </row>
    <row r="696">
      <c r="A696" t="inlineStr">
        <is>
          <t>2026-08-19</t>
        </is>
      </c>
      <c r="B696" t="inlineStr">
        <is>
          <t>Persian Gulf Pro League</t>
        </is>
      </c>
      <c r="C696" t="inlineStr">
        <is>
          <t>Malavan</t>
        </is>
      </c>
      <c r="D696" t="inlineStr">
        <is>
          <t>LOCAL</t>
        </is>
      </c>
      <c r="E696" t="inlineStr">
        <is>
          <t>ZOB Ahan</t>
        </is>
      </c>
      <c r="P696" t="inlineStr">
        <is>
          <t>fixture_id=1618225</t>
        </is>
      </c>
    </row>
    <row r="697">
      <c r="A697" t="inlineStr">
        <is>
          <t>2026-08-19</t>
        </is>
      </c>
      <c r="B697" t="inlineStr">
        <is>
          <t>Persian Gulf Pro League</t>
        </is>
      </c>
      <c r="C697" t="inlineStr">
        <is>
          <t>Mes Shahr-e Babak</t>
        </is>
      </c>
      <c r="D697" t="inlineStr">
        <is>
          <t>LOCAL</t>
        </is>
      </c>
      <c r="E697" t="inlineStr">
        <is>
          <t>Kheybar Khorramabad</t>
        </is>
      </c>
      <c r="P697" t="inlineStr">
        <is>
          <t>fixture_id=1618226</t>
        </is>
      </c>
    </row>
    <row r="698">
      <c r="A698" t="inlineStr">
        <is>
          <t>2026-08-19</t>
        </is>
      </c>
      <c r="B698" t="inlineStr">
        <is>
          <t>Persian Gulf Pro League</t>
        </is>
      </c>
      <c r="C698" t="inlineStr">
        <is>
          <t>Persepolis FC</t>
        </is>
      </c>
      <c r="D698" t="inlineStr">
        <is>
          <t>LOCAL</t>
        </is>
      </c>
      <c r="E698" t="inlineStr">
        <is>
          <t>Esteghlal Khuzestan</t>
        </is>
      </c>
      <c r="P698" t="inlineStr">
        <is>
          <t>fixture_id=1618227</t>
        </is>
      </c>
    </row>
    <row r="699">
      <c r="A699" t="inlineStr">
        <is>
          <t>2026-08-19</t>
        </is>
      </c>
      <c r="B699" t="inlineStr">
        <is>
          <t>DBU Pokalen</t>
        </is>
      </c>
      <c r="C699" t="inlineStr">
        <is>
          <t>ASA Aarhus</t>
        </is>
      </c>
      <c r="D699" t="inlineStr">
        <is>
          <t>LOCAL</t>
        </is>
      </c>
      <c r="E699" t="inlineStr">
        <is>
          <t>Randers FC</t>
        </is>
      </c>
      <c r="P699" t="inlineStr">
        <is>
          <t>fixture_id=1619029</t>
        </is>
      </c>
    </row>
    <row r="700">
      <c r="A700" t="inlineStr">
        <is>
          <t>2026-08-19</t>
        </is>
      </c>
      <c r="B700" t="inlineStr">
        <is>
          <t>Friendlies Clubs</t>
        </is>
      </c>
      <c r="C700" t="inlineStr">
        <is>
          <t>Krasava Odintsovo</t>
        </is>
      </c>
      <c r="D700" t="inlineStr">
        <is>
          <t>LOCAL</t>
        </is>
      </c>
      <c r="E700" t="inlineStr">
        <is>
          <t>AEL</t>
        </is>
      </c>
      <c r="P700" t="inlineStr">
        <is>
          <t>fixture_id=1629014</t>
        </is>
      </c>
    </row>
    <row r="701">
      <c r="A701" t="inlineStr">
        <is>
          <t>2026-08-19</t>
        </is>
      </c>
      <c r="B701" t="inlineStr">
        <is>
          <t>King's Cup</t>
        </is>
      </c>
      <c r="C701" t="inlineStr">
        <is>
          <t>Damac</t>
        </is>
      </c>
      <c r="D701" t="inlineStr">
        <is>
          <t>LOCAL</t>
        </is>
      </c>
      <c r="E701" t="inlineStr">
        <is>
          <t>Al Taawon</t>
        </is>
      </c>
      <c r="P701" t="inlineStr">
        <is>
          <t>fixture_id=1561585</t>
        </is>
      </c>
    </row>
    <row r="702">
      <c r="A702" t="inlineStr">
        <is>
          <t>2026-08-19</t>
        </is>
      </c>
      <c r="B702" t="inlineStr">
        <is>
          <t>Svenska Cupen</t>
        </is>
      </c>
      <c r="C702" t="inlineStr">
        <is>
          <t>Högaborg</t>
        </is>
      </c>
      <c r="D702" t="inlineStr">
        <is>
          <t>LOCAL</t>
        </is>
      </c>
      <c r="E702" t="inlineStr">
        <is>
          <t>Osters IF</t>
        </is>
      </c>
      <c r="P702" t="inlineStr">
        <is>
          <t>fixture_id=1549138</t>
        </is>
      </c>
    </row>
    <row r="703">
      <c r="A703" t="inlineStr">
        <is>
          <t>2026-08-19</t>
        </is>
      </c>
      <c r="B703" t="inlineStr">
        <is>
          <t>Svenska Cupen</t>
        </is>
      </c>
      <c r="C703" t="inlineStr">
        <is>
          <t>IFK Östersund</t>
        </is>
      </c>
      <c r="D703" t="inlineStr">
        <is>
          <t>LOCAL</t>
        </is>
      </c>
      <c r="E703" t="inlineStr">
        <is>
          <t>Degerfors IF</t>
        </is>
      </c>
      <c r="P703" t="inlineStr">
        <is>
          <t>fixture_id=1549139</t>
        </is>
      </c>
    </row>
    <row r="704">
      <c r="A704" t="inlineStr">
        <is>
          <t>2026-08-19</t>
        </is>
      </c>
      <c r="B704" t="inlineStr">
        <is>
          <t>Svenska Cupen</t>
        </is>
      </c>
      <c r="C704" t="inlineStr">
        <is>
          <t>Franke</t>
        </is>
      </c>
      <c r="D704" t="inlineStr">
        <is>
          <t>LOCAL</t>
        </is>
      </c>
      <c r="E704" t="inlineStr">
        <is>
          <t>Ljungskile SK</t>
        </is>
      </c>
      <c r="P704" t="inlineStr">
        <is>
          <t>fixture_id=1549140</t>
        </is>
      </c>
    </row>
    <row r="705">
      <c r="A705" t="inlineStr">
        <is>
          <t>2026-08-19</t>
        </is>
      </c>
      <c r="B705" t="inlineStr">
        <is>
          <t>Svenska Cupen</t>
        </is>
      </c>
      <c r="C705" t="inlineStr">
        <is>
          <t>FBK Karlstad</t>
        </is>
      </c>
      <c r="D705" t="inlineStr">
        <is>
          <t>LOCAL</t>
        </is>
      </c>
      <c r="E705" t="inlineStr">
        <is>
          <t>GIF Sundsvall</t>
        </is>
      </c>
      <c r="P705" t="inlineStr">
        <is>
          <t>fixture_id=1553085</t>
        </is>
      </c>
    </row>
    <row r="706">
      <c r="A706" t="inlineStr">
        <is>
          <t>2026-08-19</t>
        </is>
      </c>
      <c r="B706" t="inlineStr">
        <is>
          <t>Svenska Cupen</t>
        </is>
      </c>
      <c r="C706" t="inlineStr">
        <is>
          <t>Enköping</t>
        </is>
      </c>
      <c r="D706" t="inlineStr">
        <is>
          <t>LOCAL</t>
        </is>
      </c>
      <c r="E706" t="inlineStr">
        <is>
          <t>Vasteras SK FK</t>
        </is>
      </c>
      <c r="P706" t="inlineStr">
        <is>
          <t>fixture_id=1556552</t>
        </is>
      </c>
    </row>
    <row r="707">
      <c r="A707" t="inlineStr">
        <is>
          <t>2026-08-19</t>
        </is>
      </c>
      <c r="B707" t="inlineStr">
        <is>
          <t>Svenska Cupen</t>
        </is>
      </c>
      <c r="C707" t="inlineStr">
        <is>
          <t>Angelholms FF</t>
        </is>
      </c>
      <c r="D707" t="inlineStr">
        <is>
          <t>LOCAL</t>
        </is>
      </c>
      <c r="E707" t="inlineStr">
        <is>
          <t>Kalmar FF</t>
        </is>
      </c>
      <c r="P707" t="inlineStr">
        <is>
          <t>fixture_id=1561328</t>
        </is>
      </c>
    </row>
    <row r="708">
      <c r="A708" t="inlineStr">
        <is>
          <t>2026-08-19</t>
        </is>
      </c>
      <c r="B708" t="inlineStr">
        <is>
          <t>King's Cup</t>
        </is>
      </c>
      <c r="C708" t="inlineStr">
        <is>
          <t>Jeddah Club</t>
        </is>
      </c>
      <c r="D708" t="inlineStr">
        <is>
          <t>LOCAL</t>
        </is>
      </c>
      <c r="E708" t="inlineStr">
        <is>
          <t>Al Kholood</t>
        </is>
      </c>
      <c r="P708" t="inlineStr">
        <is>
          <t>fixture_id=1561586</t>
        </is>
      </c>
    </row>
    <row r="709">
      <c r="A709" t="inlineStr">
        <is>
          <t>2026-08-19</t>
        </is>
      </c>
      <c r="B709" t="inlineStr">
        <is>
          <t>1. Liga Promotion</t>
        </is>
      </c>
      <c r="C709" t="inlineStr">
        <is>
          <t>Zürich II</t>
        </is>
      </c>
      <c r="D709" t="inlineStr">
        <is>
          <t>LOCAL</t>
        </is>
      </c>
      <c r="E709" t="inlineStr">
        <is>
          <t>Amical Saint-Prex</t>
        </is>
      </c>
      <c r="P709" t="inlineStr">
        <is>
          <t>fixture_id=1574308</t>
        </is>
      </c>
    </row>
    <row r="710">
      <c r="A710" t="inlineStr">
        <is>
          <t>2026-08-19</t>
        </is>
      </c>
      <c r="B710" t="inlineStr">
        <is>
          <t>First League</t>
        </is>
      </c>
      <c r="C710" t="inlineStr">
        <is>
          <t>Veles</t>
        </is>
      </c>
      <c r="D710" t="inlineStr">
        <is>
          <t>LOCAL</t>
        </is>
      </c>
      <c r="E710" t="inlineStr">
        <is>
          <t>Nizhny Novgorod</t>
        </is>
      </c>
      <c r="P710" t="inlineStr">
        <is>
          <t>fixture_id=1577494</t>
        </is>
      </c>
    </row>
    <row r="711">
      <c r="A711" t="inlineStr">
        <is>
          <t>2026-08-19</t>
        </is>
      </c>
      <c r="B711" t="inlineStr">
        <is>
          <t>Regionalliga - Nord</t>
        </is>
      </c>
      <c r="C711" t="inlineStr">
        <is>
          <t>Werder Bremen II</t>
        </is>
      </c>
      <c r="D711" t="inlineStr">
        <is>
          <t>LOCAL</t>
        </is>
      </c>
      <c r="E711" t="inlineStr">
        <is>
          <t>Weiche Flensburg</t>
        </is>
      </c>
      <c r="P711" t="inlineStr">
        <is>
          <t>fixture_id=1586508</t>
        </is>
      </c>
    </row>
    <row r="712">
      <c r="A712" t="inlineStr">
        <is>
          <t>2026-08-19</t>
        </is>
      </c>
      <c r="B712" t="inlineStr">
        <is>
          <t>U19 Bundesliga</t>
        </is>
      </c>
      <c r="C712" t="inlineStr">
        <is>
          <t>Augsburg U19</t>
        </is>
      </c>
      <c r="D712" t="inlineStr">
        <is>
          <t>LOCAL</t>
        </is>
      </c>
      <c r="E712" t="inlineStr">
        <is>
          <t>Ulm U19</t>
        </is>
      </c>
      <c r="P712" t="inlineStr">
        <is>
          <t>fixture_id=1595551</t>
        </is>
      </c>
    </row>
    <row r="713">
      <c r="A713" t="inlineStr">
        <is>
          <t>2026-08-19</t>
        </is>
      </c>
      <c r="B713" t="inlineStr">
        <is>
          <t>U19 Bundesliga</t>
        </is>
      </c>
      <c r="C713" t="inlineStr">
        <is>
          <t>Borussia M'bach U19</t>
        </is>
      </c>
      <c r="D713" t="inlineStr">
        <is>
          <t>LOCAL</t>
        </is>
      </c>
      <c r="E713" t="inlineStr">
        <is>
          <t>Bayer Leverkusen U19</t>
        </is>
      </c>
      <c r="P713" t="inlineStr">
        <is>
          <t>fixture_id=1595552</t>
        </is>
      </c>
    </row>
    <row r="714">
      <c r="A714" t="inlineStr">
        <is>
          <t>2026-08-19</t>
        </is>
      </c>
      <c r="B714" t="inlineStr">
        <is>
          <t>U19 Bundesliga</t>
        </is>
      </c>
      <c r="C714" t="inlineStr">
        <is>
          <t>Fortuna Köln U19</t>
        </is>
      </c>
      <c r="D714" t="inlineStr">
        <is>
          <t>LOCAL</t>
        </is>
      </c>
      <c r="E714" t="inlineStr">
        <is>
          <t>Köln U19</t>
        </is>
      </c>
      <c r="P714" t="inlineStr">
        <is>
          <t>fixture_id=1595555</t>
        </is>
      </c>
    </row>
    <row r="715">
      <c r="A715" t="inlineStr">
        <is>
          <t>2026-08-19</t>
        </is>
      </c>
      <c r="B715" t="inlineStr">
        <is>
          <t>U19 Bundesliga</t>
        </is>
      </c>
      <c r="C715" t="inlineStr">
        <is>
          <t>FSV Frankfurt U19</t>
        </is>
      </c>
      <c r="D715" t="inlineStr">
        <is>
          <t>LOCAL</t>
        </is>
      </c>
      <c r="E715" t="inlineStr">
        <is>
          <t>Darmstadt 98 U19</t>
        </is>
      </c>
      <c r="P715" t="inlineStr">
        <is>
          <t>fixture_id=1595556</t>
        </is>
      </c>
    </row>
    <row r="716">
      <c r="A716" t="inlineStr">
        <is>
          <t>2026-08-19</t>
        </is>
      </c>
      <c r="B716" t="inlineStr">
        <is>
          <t>U19 Bundesliga</t>
        </is>
      </c>
      <c r="C716" t="inlineStr">
        <is>
          <t>Hallescher FC U19</t>
        </is>
      </c>
      <c r="D716" t="inlineStr">
        <is>
          <t>LOCAL</t>
        </is>
      </c>
      <c r="E716" t="inlineStr">
        <is>
          <t>Energie Cottbus U19</t>
        </is>
      </c>
      <c r="P716" t="inlineStr">
        <is>
          <t>fixture_id=1595557</t>
        </is>
      </c>
    </row>
    <row r="717">
      <c r="A717" t="inlineStr">
        <is>
          <t>2026-08-19</t>
        </is>
      </c>
      <c r="B717" t="inlineStr">
        <is>
          <t>U19 Bundesliga</t>
        </is>
      </c>
      <c r="C717" t="inlineStr">
        <is>
          <t>1860 München U19</t>
        </is>
      </c>
      <c r="D717" t="inlineStr">
        <is>
          <t>LOCAL</t>
        </is>
      </c>
      <c r="E717" t="inlineStr">
        <is>
          <t>SGV Freiberg Fussball U19</t>
        </is>
      </c>
      <c r="P717" t="inlineStr">
        <is>
          <t>fixture_id=1595559</t>
        </is>
      </c>
    </row>
    <row r="718">
      <c r="A718" t="inlineStr">
        <is>
          <t>2026-08-19</t>
        </is>
      </c>
      <c r="B718" t="inlineStr">
        <is>
          <t>U19 Bundesliga</t>
        </is>
      </c>
      <c r="C718" t="inlineStr">
        <is>
          <t>Paderborn U19</t>
        </is>
      </c>
      <c r="D718" t="inlineStr">
        <is>
          <t>LOCAL</t>
        </is>
      </c>
      <c r="E718" t="inlineStr">
        <is>
          <t>Hannover 96 U19</t>
        </is>
      </c>
      <c r="P718" t="inlineStr">
        <is>
          <t>fixture_id=1595561</t>
        </is>
      </c>
    </row>
    <row r="719">
      <c r="A719" t="inlineStr">
        <is>
          <t>2026-08-19</t>
        </is>
      </c>
      <c r="B719" t="inlineStr">
        <is>
          <t>U19 Bundesliga</t>
        </is>
      </c>
      <c r="C719" t="inlineStr">
        <is>
          <t>Jahn Regensburg U19</t>
        </is>
      </c>
      <c r="D719" t="inlineStr">
        <is>
          <t>LOCAL</t>
        </is>
      </c>
      <c r="E719" t="inlineStr">
        <is>
          <t>Unterhaching U19</t>
        </is>
      </c>
      <c r="P719" t="inlineStr">
        <is>
          <t>fixture_id=1595562</t>
        </is>
      </c>
    </row>
    <row r="720">
      <c r="A720" t="inlineStr">
        <is>
          <t>2026-08-19</t>
        </is>
      </c>
      <c r="B720" t="inlineStr">
        <is>
          <t>U19 Bundesliga</t>
        </is>
      </c>
      <c r="C720" t="inlineStr">
        <is>
          <t>Schalke 04 U19</t>
        </is>
      </c>
      <c r="D720" t="inlineStr">
        <is>
          <t>LOCAL</t>
        </is>
      </c>
      <c r="E720" t="inlineStr">
        <is>
          <t>Rot-Weiss Essen U19</t>
        </is>
      </c>
      <c r="P720" t="inlineStr">
        <is>
          <t>fixture_id=1595563</t>
        </is>
      </c>
    </row>
    <row r="721">
      <c r="A721" t="inlineStr">
        <is>
          <t>2026-08-19</t>
        </is>
      </c>
      <c r="B721" t="inlineStr">
        <is>
          <t>U19 Bundesliga</t>
        </is>
      </c>
      <c r="C721" t="inlineStr">
        <is>
          <t>Wehen Wiesbaden U19</t>
        </is>
      </c>
      <c r="D721" t="inlineStr">
        <is>
          <t>LOCAL</t>
        </is>
      </c>
      <c r="E721" t="inlineStr">
        <is>
          <t>Kaiserslautern U19</t>
        </is>
      </c>
      <c r="P721" t="inlineStr">
        <is>
          <t>fixture_id=1595565</t>
        </is>
      </c>
    </row>
    <row r="722">
      <c r="A722" t="inlineStr">
        <is>
          <t>2026-08-19</t>
        </is>
      </c>
      <c r="B722" t="inlineStr">
        <is>
          <t>Cup</t>
        </is>
      </c>
      <c r="C722" t="inlineStr">
        <is>
          <t>Spartak Trnava</t>
        </is>
      </c>
      <c r="D722" t="inlineStr">
        <is>
          <t>LOCAL</t>
        </is>
      </c>
      <c r="E722" t="inlineStr">
        <is>
          <t>Trenčianske Stankovce</t>
        </is>
      </c>
      <c r="P722" t="inlineStr">
        <is>
          <t>fixture_id=1611015</t>
        </is>
      </c>
    </row>
    <row r="723">
      <c r="A723" t="inlineStr">
        <is>
          <t>2026-08-19</t>
        </is>
      </c>
      <c r="B723" t="inlineStr">
        <is>
          <t>Friendlies Clubs</t>
        </is>
      </c>
      <c r="C723" t="inlineStr">
        <is>
          <t>Montevarchi Calcio</t>
        </is>
      </c>
      <c r="D723" t="inlineStr">
        <is>
          <t>LOCAL</t>
        </is>
      </c>
      <c r="E723" t="inlineStr">
        <is>
          <t>Figline</t>
        </is>
      </c>
      <c r="P723" t="inlineStr">
        <is>
          <t>fixture_id=1627013</t>
        </is>
      </c>
    </row>
    <row r="724">
      <c r="A724" t="inlineStr">
        <is>
          <t>2026-08-19</t>
        </is>
      </c>
      <c r="B724" t="inlineStr">
        <is>
          <t>Svenska Cupen</t>
        </is>
      </c>
      <c r="C724" t="inlineStr">
        <is>
          <t>Trollhättan</t>
        </is>
      </c>
      <c r="D724" t="inlineStr">
        <is>
          <t>LOCAL</t>
        </is>
      </c>
      <c r="E724" t="inlineStr">
        <is>
          <t>Mjallby AIF</t>
        </is>
      </c>
      <c r="P724" t="inlineStr">
        <is>
          <t>fixture_id=1548378</t>
        </is>
      </c>
    </row>
    <row r="725">
      <c r="A725" t="inlineStr">
        <is>
          <t>2026-08-19</t>
        </is>
      </c>
      <c r="B725" t="inlineStr">
        <is>
          <t>Prva Liga</t>
        </is>
      </c>
      <c r="C725" t="inlineStr">
        <is>
          <t>Javor</t>
        </is>
      </c>
      <c r="D725" t="inlineStr">
        <is>
          <t>LOCAL</t>
        </is>
      </c>
      <c r="E725" t="inlineStr">
        <is>
          <t>Jedinstvo Ub</t>
        </is>
      </c>
      <c r="P725" t="inlineStr">
        <is>
          <t>fixture_id=1554122</t>
        </is>
      </c>
    </row>
    <row r="726">
      <c r="A726" t="inlineStr">
        <is>
          <t>2026-08-19</t>
        </is>
      </c>
      <c r="B726" t="inlineStr">
        <is>
          <t>Prva Liga</t>
        </is>
      </c>
      <c r="C726" t="inlineStr">
        <is>
          <t>Teleoptik</t>
        </is>
      </c>
      <c r="D726" t="inlineStr">
        <is>
          <t>LOCAL</t>
        </is>
      </c>
      <c r="E726" t="inlineStr">
        <is>
          <t>Napredak</t>
        </is>
      </c>
      <c r="P726" t="inlineStr">
        <is>
          <t>fixture_id=1554124</t>
        </is>
      </c>
    </row>
    <row r="727">
      <c r="A727" t="inlineStr">
        <is>
          <t>2026-08-19</t>
        </is>
      </c>
      <c r="B727" t="inlineStr">
        <is>
          <t>Prva Liga</t>
        </is>
      </c>
      <c r="C727" t="inlineStr">
        <is>
          <t>OFK Bor 1919</t>
        </is>
      </c>
      <c r="D727" t="inlineStr">
        <is>
          <t>LOCAL</t>
        </is>
      </c>
      <c r="E727" t="inlineStr">
        <is>
          <t>FK Vozdovac</t>
        </is>
      </c>
      <c r="P727" t="inlineStr">
        <is>
          <t>fixture_id=1554312</t>
        </is>
      </c>
    </row>
    <row r="728">
      <c r="A728" t="inlineStr">
        <is>
          <t>2026-08-19</t>
        </is>
      </c>
      <c r="B728" t="inlineStr">
        <is>
          <t>III Liga - Group 2</t>
        </is>
      </c>
      <c r="C728" t="inlineStr">
        <is>
          <t>Polonia Środa</t>
        </is>
      </c>
      <c r="D728" t="inlineStr">
        <is>
          <t>LOCAL</t>
        </is>
      </c>
      <c r="E728" t="inlineStr">
        <is>
          <t>Stargard Szczeciński</t>
        </is>
      </c>
      <c r="P728" t="inlineStr">
        <is>
          <t>fixture_id=1568754</t>
        </is>
      </c>
    </row>
    <row r="729">
      <c r="A729" t="inlineStr">
        <is>
          <t>2026-08-19</t>
        </is>
      </c>
      <c r="B729" t="inlineStr">
        <is>
          <t>Kvindeliga</t>
        </is>
      </c>
      <c r="C729" t="inlineStr">
        <is>
          <t>Brøndby W</t>
        </is>
      </c>
      <c r="D729" t="inlineStr">
        <is>
          <t>LOCAL</t>
        </is>
      </c>
      <c r="E729" t="inlineStr">
        <is>
          <t>Køge W</t>
        </is>
      </c>
      <c r="P729" t="inlineStr">
        <is>
          <t>fixture_id=1582104</t>
        </is>
      </c>
    </row>
    <row r="730">
      <c r="A730" t="inlineStr">
        <is>
          <t>2026-08-19</t>
        </is>
      </c>
      <c r="B730" t="inlineStr">
        <is>
          <t>Kvindeliga</t>
        </is>
      </c>
      <c r="C730" t="inlineStr">
        <is>
          <t>Fortuna Hjørring W</t>
        </is>
      </c>
      <c r="D730" t="inlineStr">
        <is>
          <t>LOCAL</t>
        </is>
      </c>
      <c r="E730" t="inlineStr">
        <is>
          <t>AGF W</t>
        </is>
      </c>
      <c r="P730" t="inlineStr">
        <is>
          <t>fixture_id=1582105</t>
        </is>
      </c>
    </row>
    <row r="731">
      <c r="A731" t="inlineStr">
        <is>
          <t>2026-08-19</t>
        </is>
      </c>
      <c r="B731" t="inlineStr">
        <is>
          <t>Kvindeliga</t>
        </is>
      </c>
      <c r="C731" t="inlineStr">
        <is>
          <t>KoldingQ W</t>
        </is>
      </c>
      <c r="D731" t="inlineStr">
        <is>
          <t>LOCAL</t>
        </is>
      </c>
      <c r="E731" t="inlineStr">
        <is>
          <t>Odense Q W</t>
        </is>
      </c>
      <c r="P731" t="inlineStr">
        <is>
          <t>fixture_id=1582106</t>
        </is>
      </c>
    </row>
    <row r="732">
      <c r="A732" t="inlineStr">
        <is>
          <t>2026-08-19</t>
        </is>
      </c>
      <c r="B732" t="inlineStr">
        <is>
          <t>U19 Bundesliga</t>
        </is>
      </c>
      <c r="C732" t="inlineStr">
        <is>
          <t>Sandhausen U19</t>
        </is>
      </c>
      <c r="D732" t="inlineStr">
        <is>
          <t>LOCAL</t>
        </is>
      </c>
      <c r="E732" t="inlineStr">
        <is>
          <t>Hoffenheim U19</t>
        </is>
      </c>
      <c r="P732" t="inlineStr">
        <is>
          <t>fixture_id=1595566</t>
        </is>
      </c>
    </row>
    <row r="733">
      <c r="A733" t="inlineStr">
        <is>
          <t>2026-08-19</t>
        </is>
      </c>
      <c r="B733" t="inlineStr">
        <is>
          <t>Reserve League</t>
        </is>
      </c>
      <c r="C733" t="inlineStr">
        <is>
          <t>Gimnasia La Plata Res.</t>
        </is>
      </c>
      <c r="D733" t="inlineStr">
        <is>
          <t>LOCAL</t>
        </is>
      </c>
      <c r="E733" t="inlineStr">
        <is>
          <t>Sarmiento Res.</t>
        </is>
      </c>
      <c r="P733" t="inlineStr">
        <is>
          <t>fixture_id=1611948</t>
        </is>
      </c>
    </row>
    <row r="734">
      <c r="A734" t="inlineStr">
        <is>
          <t>2026-08-19</t>
        </is>
      </c>
      <c r="B734" t="inlineStr">
        <is>
          <t>Copa Paraguay</t>
        </is>
      </c>
      <c r="C734" t="inlineStr">
        <is>
          <t>Deportivo Obrero</t>
        </is>
      </c>
      <c r="D734" t="inlineStr">
        <is>
          <t>LOCAL</t>
        </is>
      </c>
      <c r="E734" t="inlineStr">
        <is>
          <t>Fernando De La Mora</t>
        </is>
      </c>
      <c r="P734" t="inlineStr">
        <is>
          <t>fixture_id=1612595</t>
        </is>
      </c>
    </row>
    <row r="735">
      <c r="A735" t="inlineStr">
        <is>
          <t>2026-08-19</t>
        </is>
      </c>
      <c r="B735" t="inlineStr">
        <is>
          <t>Persian Gulf Pro League</t>
        </is>
      </c>
      <c r="C735" t="inlineStr">
        <is>
          <t>Foolad FC</t>
        </is>
      </c>
      <c r="D735" t="inlineStr">
        <is>
          <t>LOCAL</t>
        </is>
      </c>
      <c r="E735" t="inlineStr">
        <is>
          <t>Shams Azar Qazvin</t>
        </is>
      </c>
      <c r="P735" t="inlineStr">
        <is>
          <t>fixture_id=1618228</t>
        </is>
      </c>
    </row>
    <row r="736">
      <c r="A736" t="inlineStr">
        <is>
          <t>2026-08-19</t>
        </is>
      </c>
      <c r="B736" t="inlineStr">
        <is>
          <t>Friendlies Clubs</t>
        </is>
      </c>
      <c r="C736" t="inlineStr">
        <is>
          <t>Sant Andreu</t>
        </is>
      </c>
      <c r="D736" t="inlineStr">
        <is>
          <t>LOCAL</t>
        </is>
      </c>
      <c r="E736" t="inlineStr">
        <is>
          <t>Manresa</t>
        </is>
      </c>
      <c r="P736" t="inlineStr">
        <is>
          <t>fixture_id=1618948</t>
        </is>
      </c>
    </row>
    <row r="737">
      <c r="A737" t="inlineStr">
        <is>
          <t>2026-08-19</t>
        </is>
      </c>
      <c r="B737" t="inlineStr">
        <is>
          <t>Friendlies Clubs</t>
        </is>
      </c>
      <c r="C737" t="inlineStr">
        <is>
          <t>La Calzada</t>
        </is>
      </c>
      <c r="D737" t="inlineStr">
        <is>
          <t>LOCAL</t>
        </is>
      </c>
      <c r="E737" t="inlineStr">
        <is>
          <t>Mirandes</t>
        </is>
      </c>
      <c r="P737" t="inlineStr">
        <is>
          <t>fixture_id=1618949</t>
        </is>
      </c>
    </row>
    <row r="738">
      <c r="A738" t="inlineStr">
        <is>
          <t>2026-08-19</t>
        </is>
      </c>
      <c r="B738" t="inlineStr">
        <is>
          <t>1. Liga Promotion</t>
        </is>
      </c>
      <c r="C738" t="inlineStr">
        <is>
          <t>Brühl</t>
        </is>
      </c>
      <c r="D738" t="inlineStr">
        <is>
          <t>LOCAL</t>
        </is>
      </c>
      <c r="E738" t="inlineStr">
        <is>
          <t>Biel-Bienne</t>
        </is>
      </c>
      <c r="P738" t="inlineStr">
        <is>
          <t>fixture_id=1574300</t>
        </is>
      </c>
    </row>
    <row r="739">
      <c r="A739" t="inlineStr">
        <is>
          <t>2026-08-19</t>
        </is>
      </c>
      <c r="B739" t="inlineStr">
        <is>
          <t>1. Liga Promotion</t>
        </is>
      </c>
      <c r="C739" t="inlineStr">
        <is>
          <t>Kreuzlingen</t>
        </is>
      </c>
      <c r="D739" t="inlineStr">
        <is>
          <t>LOCAL</t>
        </is>
      </c>
      <c r="E739" t="inlineStr">
        <is>
          <t>Cham</t>
        </is>
      </c>
      <c r="P739" t="inlineStr">
        <is>
          <t>fixture_id=1574301</t>
        </is>
      </c>
    </row>
    <row r="740">
      <c r="A740" t="inlineStr">
        <is>
          <t>2026-08-19</t>
        </is>
      </c>
      <c r="B740" t="inlineStr">
        <is>
          <t>1. Liga Promotion</t>
        </is>
      </c>
      <c r="C740" t="inlineStr">
        <is>
          <t>Grand-Saconnex</t>
        </is>
      </c>
      <c r="D740" t="inlineStr">
        <is>
          <t>LOCAL</t>
        </is>
      </c>
      <c r="E740" t="inlineStr">
        <is>
          <t>FC Schaffhausen</t>
        </is>
      </c>
      <c r="P740" t="inlineStr">
        <is>
          <t>fixture_id=1574304</t>
        </is>
      </c>
    </row>
    <row r="741">
      <c r="A741" t="inlineStr">
        <is>
          <t>2026-08-19</t>
        </is>
      </c>
      <c r="B741" t="inlineStr">
        <is>
          <t>1. Liga Promotion</t>
        </is>
      </c>
      <c r="C741" t="inlineStr">
        <is>
          <t>Breitenrain</t>
        </is>
      </c>
      <c r="D741" t="inlineStr">
        <is>
          <t>LOCAL</t>
        </is>
      </c>
      <c r="E741" t="inlineStr">
        <is>
          <t>Young Boys II</t>
        </is>
      </c>
      <c r="P741" t="inlineStr">
        <is>
          <t>fixture_id=1574313</t>
        </is>
      </c>
    </row>
    <row r="742">
      <c r="A742" t="inlineStr">
        <is>
          <t>2026-08-19</t>
        </is>
      </c>
      <c r="B742" t="inlineStr">
        <is>
          <t>Premier Soccer League</t>
        </is>
      </c>
      <c r="C742" t="inlineStr">
        <is>
          <t>Mamelodi Sundowns</t>
        </is>
      </c>
      <c r="D742" t="inlineStr">
        <is>
          <t>LOCAL</t>
        </is>
      </c>
      <c r="E742" t="inlineStr">
        <is>
          <t>Marumo Gallants</t>
        </is>
      </c>
      <c r="P742" t="inlineStr">
        <is>
          <t>fixture_id=1600300</t>
        </is>
      </c>
    </row>
    <row r="743">
      <c r="A743" t="inlineStr">
        <is>
          <t>2026-08-19</t>
        </is>
      </c>
      <c r="B743" t="inlineStr">
        <is>
          <t>Friendlies Clubs</t>
        </is>
      </c>
      <c r="C743" t="inlineStr">
        <is>
          <t>Guijuelo</t>
        </is>
      </c>
      <c r="D743" t="inlineStr">
        <is>
          <t>LOCAL</t>
        </is>
      </c>
      <c r="E743" t="inlineStr">
        <is>
          <t>Ribert</t>
        </is>
      </c>
      <c r="P743" t="inlineStr">
        <is>
          <t>fixture_id=1627014</t>
        </is>
      </c>
    </row>
    <row r="744">
      <c r="A744" t="inlineStr">
        <is>
          <t>2026-08-19</t>
        </is>
      </c>
      <c r="B744" t="inlineStr">
        <is>
          <t>Cupa României</t>
        </is>
      </c>
      <c r="C744" t="inlineStr">
        <is>
          <t>Concordia</t>
        </is>
      </c>
      <c r="D744" t="inlineStr">
        <is>
          <t>LOCAL</t>
        </is>
      </c>
      <c r="E744" t="inlineStr">
        <is>
          <t>Oţelul</t>
        </is>
      </c>
      <c r="P744" t="inlineStr">
        <is>
          <t>fixture_id=1627520</t>
        </is>
      </c>
    </row>
    <row r="745">
      <c r="A745" t="inlineStr">
        <is>
          <t>2026-08-19</t>
        </is>
      </c>
      <c r="B745" t="inlineStr">
        <is>
          <t>Cup</t>
        </is>
      </c>
      <c r="C745" t="inlineStr">
        <is>
          <t>Dynamo</t>
        </is>
      </c>
      <c r="D745" t="inlineStr">
        <is>
          <t>LOCAL</t>
        </is>
      </c>
      <c r="E745" t="inlineStr">
        <is>
          <t>FC Krasnodar</t>
        </is>
      </c>
      <c r="P745" t="inlineStr">
        <is>
          <t>fixture_id=1563646</t>
        </is>
      </c>
    </row>
    <row r="746">
      <c r="A746" t="inlineStr">
        <is>
          <t>2026-08-19</t>
        </is>
      </c>
      <c r="B746" t="inlineStr">
        <is>
          <t>III Liga - Group 4</t>
        </is>
      </c>
      <c r="C746" t="inlineStr">
        <is>
          <t>Wiślanie Jaśkowice</t>
        </is>
      </c>
      <c r="D746" t="inlineStr">
        <is>
          <t>LOCAL</t>
        </is>
      </c>
      <c r="E746" t="inlineStr">
        <is>
          <t>KSZO 1929</t>
        </is>
      </c>
      <c r="P746" t="inlineStr">
        <is>
          <t>fixture_id=1568140</t>
        </is>
      </c>
    </row>
    <row r="747">
      <c r="A747" t="inlineStr">
        <is>
          <t>2026-08-19</t>
        </is>
      </c>
      <c r="B747" t="inlineStr">
        <is>
          <t>Primera Nacional</t>
        </is>
      </c>
      <c r="C747" t="inlineStr">
        <is>
          <t>Chacarita Juniors</t>
        </is>
      </c>
      <c r="D747" t="inlineStr">
        <is>
          <t>LOCAL</t>
        </is>
      </c>
      <c r="E747" t="inlineStr">
        <is>
          <t>Club Atlético Güemes</t>
        </is>
      </c>
      <c r="P747" t="inlineStr">
        <is>
          <t>fixture_id=1498654</t>
        </is>
      </c>
    </row>
    <row r="748">
      <c r="A748" t="inlineStr">
        <is>
          <t>2026-08-19</t>
        </is>
      </c>
      <c r="B748" t="inlineStr">
        <is>
          <t>2. Deild</t>
        </is>
      </c>
      <c r="C748" t="inlineStr">
        <is>
          <t>Dalvík / Reynir</t>
        </is>
      </c>
      <c r="D748" t="inlineStr">
        <is>
          <t>LOCAL</t>
        </is>
      </c>
      <c r="E748" t="inlineStr">
        <is>
          <t>Magni</t>
        </is>
      </c>
      <c r="P748" t="inlineStr">
        <is>
          <t>fixture_id=1543457</t>
        </is>
      </c>
    </row>
    <row r="749">
      <c r="A749" t="inlineStr">
        <is>
          <t>2026-08-19</t>
        </is>
      </c>
      <c r="B749" t="inlineStr">
        <is>
          <t>2. Deild</t>
        </is>
      </c>
      <c r="C749" t="inlineStr">
        <is>
          <t>Fjolnir</t>
        </is>
      </c>
      <c r="D749" t="inlineStr">
        <is>
          <t>LOCAL</t>
        </is>
      </c>
      <c r="E749" t="inlineStr">
        <is>
          <t>Fjardabyggd / Leiknir</t>
        </is>
      </c>
      <c r="P749" t="inlineStr">
        <is>
          <t>fixture_id=1543458</t>
        </is>
      </c>
    </row>
    <row r="750">
      <c r="A750" t="inlineStr">
        <is>
          <t>2026-08-19</t>
        </is>
      </c>
      <c r="B750" t="inlineStr">
        <is>
          <t>2. Deild</t>
        </is>
      </c>
      <c r="C750" t="inlineStr">
        <is>
          <t>Hvíti riddarinn</t>
        </is>
      </c>
      <c r="D750" t="inlineStr">
        <is>
          <t>LOCAL</t>
        </is>
      </c>
      <c r="E750" t="inlineStr">
        <is>
          <t>KFG</t>
        </is>
      </c>
      <c r="P750" t="inlineStr">
        <is>
          <t>fixture_id=1543459</t>
        </is>
      </c>
    </row>
    <row r="751">
      <c r="A751" t="inlineStr">
        <is>
          <t>2026-08-19</t>
        </is>
      </c>
      <c r="B751" t="inlineStr">
        <is>
          <t>2. Deild</t>
        </is>
      </c>
      <c r="C751" t="inlineStr">
        <is>
          <t>Kormákur / Hvöt</t>
        </is>
      </c>
      <c r="D751" t="inlineStr">
        <is>
          <t>LOCAL</t>
        </is>
      </c>
      <c r="E751" t="inlineStr">
        <is>
          <t>Haukar</t>
        </is>
      </c>
      <c r="P751" t="inlineStr">
        <is>
          <t>fixture_id=1543460</t>
        </is>
      </c>
    </row>
    <row r="752">
      <c r="A752" t="inlineStr">
        <is>
          <t>2026-08-19</t>
        </is>
      </c>
      <c r="B752" t="inlineStr">
        <is>
          <t>2. Deild</t>
        </is>
      </c>
      <c r="C752" t="inlineStr">
        <is>
          <t>Vikingur Olafsiik</t>
        </is>
      </c>
      <c r="D752" t="inlineStr">
        <is>
          <t>LOCAL</t>
        </is>
      </c>
      <c r="E752" t="inlineStr">
        <is>
          <t>Thróttur Vogar</t>
        </is>
      </c>
      <c r="P752" t="inlineStr">
        <is>
          <t>fixture_id=1543461</t>
        </is>
      </c>
    </row>
    <row r="753">
      <c r="A753" t="inlineStr">
        <is>
          <t>2026-08-19</t>
        </is>
      </c>
      <c r="B753" t="inlineStr">
        <is>
          <t>2. Deild</t>
        </is>
      </c>
      <c r="C753" t="inlineStr">
        <is>
          <t>Selfoss</t>
        </is>
      </c>
      <c r="D753" t="inlineStr">
        <is>
          <t>LOCAL</t>
        </is>
      </c>
      <c r="E753" t="inlineStr">
        <is>
          <t>Kári</t>
        </is>
      </c>
      <c r="P753" t="inlineStr">
        <is>
          <t>fixture_id=1543462</t>
        </is>
      </c>
    </row>
    <row r="754">
      <c r="A754" t="inlineStr">
        <is>
          <t>2026-08-19</t>
        </is>
      </c>
      <c r="B754" t="inlineStr">
        <is>
          <t>Capixaba B</t>
        </is>
      </c>
      <c r="C754" t="inlineStr">
        <is>
          <t>Tupy</t>
        </is>
      </c>
      <c r="D754" t="inlineStr">
        <is>
          <t>LOCAL</t>
        </is>
      </c>
      <c r="E754" t="inlineStr">
        <is>
          <t>Sport Brasil ES</t>
        </is>
      </c>
      <c r="P754" t="inlineStr">
        <is>
          <t>fixture_id=1548274</t>
        </is>
      </c>
    </row>
    <row r="755">
      <c r="A755" t="inlineStr">
        <is>
          <t>2026-08-19</t>
        </is>
      </c>
      <c r="B755" t="inlineStr">
        <is>
          <t>Prva Liga</t>
        </is>
      </c>
      <c r="C755" t="inlineStr">
        <is>
          <t>Borac Cacak</t>
        </is>
      </c>
      <c r="D755" t="inlineStr">
        <is>
          <t>LOCAL</t>
        </is>
      </c>
      <c r="E755" t="inlineStr">
        <is>
          <t>Naftagas</t>
        </is>
      </c>
      <c r="P755" t="inlineStr">
        <is>
          <t>fixture_id=1554120</t>
        </is>
      </c>
    </row>
    <row r="756">
      <c r="A756" t="inlineStr">
        <is>
          <t>2026-08-19</t>
        </is>
      </c>
      <c r="B756" t="inlineStr">
        <is>
          <t>Prva Liga</t>
        </is>
      </c>
      <c r="C756" t="inlineStr">
        <is>
          <t>Metalac GM</t>
        </is>
      </c>
      <c r="D756" t="inlineStr">
        <is>
          <t>LOCAL</t>
        </is>
      </c>
      <c r="E756" t="inlineStr">
        <is>
          <t>Semendrija 1924</t>
        </is>
      </c>
      <c r="P756" t="inlineStr">
        <is>
          <t>fixture_id=1554123</t>
        </is>
      </c>
    </row>
    <row r="757">
      <c r="A757" t="inlineStr">
        <is>
          <t>2026-08-19</t>
        </is>
      </c>
      <c r="B757" t="inlineStr">
        <is>
          <t>King's Cup</t>
        </is>
      </c>
      <c r="C757" t="inlineStr">
        <is>
          <t>Al Ula</t>
        </is>
      </c>
      <c r="D757" t="inlineStr">
        <is>
          <t>LOCAL</t>
        </is>
      </c>
      <c r="E757" t="inlineStr">
        <is>
          <t>Al-Fateh</t>
        </is>
      </c>
      <c r="P757" t="inlineStr">
        <is>
          <t>fixture_id=1561582</t>
        </is>
      </c>
    </row>
    <row r="758">
      <c r="A758" t="inlineStr">
        <is>
          <t>2026-08-19</t>
        </is>
      </c>
      <c r="B758" t="inlineStr">
        <is>
          <t>III Liga - Group 3</t>
        </is>
      </c>
      <c r="C758" t="inlineStr">
        <is>
          <t>Polonia Nysa</t>
        </is>
      </c>
      <c r="D758" t="inlineStr">
        <is>
          <t>LOCAL</t>
        </is>
      </c>
      <c r="E758" t="inlineStr">
        <is>
          <t>Stal Brzeg</t>
        </is>
      </c>
      <c r="P758" t="inlineStr">
        <is>
          <t>fixture_id=1568447</t>
        </is>
      </c>
    </row>
    <row r="759">
      <c r="A759" t="inlineStr">
        <is>
          <t>2026-08-19</t>
        </is>
      </c>
      <c r="B759" t="inlineStr">
        <is>
          <t>1. Liga Promotion</t>
        </is>
      </c>
      <c r="C759" t="inlineStr">
        <is>
          <t>YF Juventus</t>
        </is>
      </c>
      <c r="D759" t="inlineStr">
        <is>
          <t>LOCAL</t>
        </is>
      </c>
      <c r="E759" t="inlineStr">
        <is>
          <t>Bavois</t>
        </is>
      </c>
      <c r="P759" t="inlineStr">
        <is>
          <t>fixture_id=1574307</t>
        </is>
      </c>
    </row>
    <row r="760">
      <c r="A760" t="inlineStr">
        <is>
          <t>2026-08-19</t>
        </is>
      </c>
      <c r="B760" t="inlineStr">
        <is>
          <t>EFL Trophy</t>
        </is>
      </c>
      <c r="C760" t="inlineStr">
        <is>
          <t>Mansfield Town</t>
        </is>
      </c>
      <c r="D760" t="inlineStr">
        <is>
          <t>LOCAL</t>
        </is>
      </c>
      <c r="E760" t="inlineStr">
        <is>
          <t>Manchester City U21</t>
        </is>
      </c>
      <c r="P760" t="inlineStr">
        <is>
          <t>fixture_id=1588837</t>
        </is>
      </c>
    </row>
    <row r="761">
      <c r="A761" t="inlineStr">
        <is>
          <t>2026-08-19</t>
        </is>
      </c>
      <c r="B761" t="inlineStr">
        <is>
          <t>Friendlies Clubs</t>
        </is>
      </c>
      <c r="C761" t="inlineStr">
        <is>
          <t>Coruxo</t>
        </is>
      </c>
      <c r="D761" t="inlineStr">
        <is>
          <t>LOCAL</t>
        </is>
      </c>
      <c r="E761" t="inlineStr">
        <is>
          <t>Pontevedra</t>
        </is>
      </c>
      <c r="P761" t="inlineStr">
        <is>
          <t>fixture_id=1604795</t>
        </is>
      </c>
    </row>
    <row r="762">
      <c r="A762" t="inlineStr">
        <is>
          <t>2026-08-19</t>
        </is>
      </c>
      <c r="B762" t="inlineStr">
        <is>
          <t>Friendlies Clubs</t>
        </is>
      </c>
      <c r="C762" t="inlineStr">
        <is>
          <t>Ponferradina</t>
        </is>
      </c>
      <c r="D762" t="inlineStr">
        <is>
          <t>LOCAL</t>
        </is>
      </c>
      <c r="E762" t="inlineStr">
        <is>
          <t>Real Madrid II</t>
        </is>
      </c>
      <c r="P762" t="inlineStr">
        <is>
          <t>fixture_id=1604796</t>
        </is>
      </c>
    </row>
    <row r="763">
      <c r="A763" t="inlineStr">
        <is>
          <t>2026-08-19</t>
        </is>
      </c>
      <c r="B763" t="inlineStr">
        <is>
          <t>Friendlies Clubs</t>
        </is>
      </c>
      <c r="C763" t="inlineStr">
        <is>
          <t>Barcelona</t>
        </is>
      </c>
      <c r="D763" t="inlineStr">
        <is>
          <t>LOCAL</t>
        </is>
      </c>
      <c r="E763" t="inlineStr">
        <is>
          <t>Al Ahly</t>
        </is>
      </c>
      <c r="P763" t="inlineStr">
        <is>
          <t>fixture_id=1604797</t>
        </is>
      </c>
    </row>
    <row r="764">
      <c r="A764" t="inlineStr">
        <is>
          <t>2026-08-19</t>
        </is>
      </c>
      <c r="B764" t="inlineStr">
        <is>
          <t>1. Liga Classic - Group 3</t>
        </is>
      </c>
      <c r="C764" t="inlineStr">
        <is>
          <t>Tuggen</t>
        </is>
      </c>
      <c r="D764" t="inlineStr">
        <is>
          <t>LOCAL</t>
        </is>
      </c>
      <c r="E764" t="inlineStr">
        <is>
          <t>Dietikon</t>
        </is>
      </c>
      <c r="P764" t="inlineStr">
        <is>
          <t>fixture_id=1609631</t>
        </is>
      </c>
    </row>
    <row r="765">
      <c r="A765" t="inlineStr">
        <is>
          <t>2026-08-19</t>
        </is>
      </c>
      <c r="B765" t="inlineStr">
        <is>
          <t>Cearense U20</t>
        </is>
      </c>
      <c r="C765" t="inlineStr">
        <is>
          <t>Fortaleza U20</t>
        </is>
      </c>
      <c r="D765" t="inlineStr">
        <is>
          <t>LOCAL</t>
        </is>
      </c>
      <c r="E765" t="inlineStr">
        <is>
          <t>Quixadá U20</t>
        </is>
      </c>
      <c r="P765" t="inlineStr">
        <is>
          <t>fixture_id=1610885</t>
        </is>
      </c>
    </row>
    <row r="766">
      <c r="A766" t="inlineStr">
        <is>
          <t>2026-08-19</t>
        </is>
      </c>
      <c r="B766" t="inlineStr">
        <is>
          <t>Reserve League</t>
        </is>
      </c>
      <c r="C766" t="inlineStr">
        <is>
          <t>Banfield Res.</t>
        </is>
      </c>
      <c r="D766" t="inlineStr">
        <is>
          <t>LOCAL</t>
        </is>
      </c>
      <c r="E766" t="inlineStr">
        <is>
          <t>Instituto Res.</t>
        </is>
      </c>
      <c r="P766" t="inlineStr">
        <is>
          <t>fixture_id=1611947</t>
        </is>
      </c>
    </row>
    <row r="767">
      <c r="A767" t="inlineStr">
        <is>
          <t>2026-08-19</t>
        </is>
      </c>
      <c r="B767" t="inlineStr">
        <is>
          <t>Reserve League</t>
        </is>
      </c>
      <c r="C767" t="inlineStr">
        <is>
          <t>Aldosivi Res.</t>
        </is>
      </c>
      <c r="D767" t="inlineStr">
        <is>
          <t>LOCAL</t>
        </is>
      </c>
      <c r="E767" t="inlineStr">
        <is>
          <t>Argentinos Juniors Res.</t>
        </is>
      </c>
      <c r="P767" t="inlineStr">
        <is>
          <t>fixture_id=1611953</t>
        </is>
      </c>
    </row>
    <row r="768">
      <c r="A768" t="inlineStr">
        <is>
          <t>2026-08-19</t>
        </is>
      </c>
      <c r="B768" t="inlineStr">
        <is>
          <t>Reserve League</t>
        </is>
      </c>
      <c r="C768" t="inlineStr">
        <is>
          <t>Atl. Rafaela 2</t>
        </is>
      </c>
      <c r="D768" t="inlineStr">
        <is>
          <t>LOCAL</t>
        </is>
      </c>
      <c r="E768" t="inlineStr">
        <is>
          <t>Quilmes 2</t>
        </is>
      </c>
      <c r="P768" t="inlineStr">
        <is>
          <t>fixture_id=1611954</t>
        </is>
      </c>
    </row>
    <row r="769">
      <c r="A769" t="inlineStr">
        <is>
          <t>2026-08-19</t>
        </is>
      </c>
      <c r="B769" t="inlineStr">
        <is>
          <t>Reserve League</t>
        </is>
      </c>
      <c r="C769" t="inlineStr">
        <is>
          <t>Ferro 2</t>
        </is>
      </c>
      <c r="D769" t="inlineStr">
        <is>
          <t>LOCAL</t>
        </is>
      </c>
      <c r="E769" t="inlineStr">
        <is>
          <t>San Martín San Juan Res.</t>
        </is>
      </c>
      <c r="P769" t="inlineStr">
        <is>
          <t>fixture_id=1611955</t>
        </is>
      </c>
    </row>
    <row r="770">
      <c r="A770" t="inlineStr">
        <is>
          <t>2026-08-19</t>
        </is>
      </c>
      <c r="B770" t="inlineStr">
        <is>
          <t>Reserve League</t>
        </is>
      </c>
      <c r="C770" t="inlineStr">
        <is>
          <t>Huracán Res.</t>
        </is>
      </c>
      <c r="D770" t="inlineStr">
        <is>
          <t>LOCAL</t>
        </is>
      </c>
      <c r="E770" t="inlineStr">
        <is>
          <t>Independiente Riva. Res.</t>
        </is>
      </c>
      <c r="P770" t="inlineStr">
        <is>
          <t>fixture_id=1611956</t>
        </is>
      </c>
    </row>
    <row r="771">
      <c r="A771" t="inlineStr">
        <is>
          <t>2026-08-19</t>
        </is>
      </c>
      <c r="B771" t="inlineStr">
        <is>
          <t>Reserve League</t>
        </is>
      </c>
      <c r="C771" t="inlineStr">
        <is>
          <t>Independiente Res.</t>
        </is>
      </c>
      <c r="D771" t="inlineStr">
        <is>
          <t>LOCAL</t>
        </is>
      </c>
      <c r="E771" t="inlineStr">
        <is>
          <t>Estudiantes La Plata Res</t>
        </is>
      </c>
      <c r="P771" t="inlineStr">
        <is>
          <t>fixture_id=1611957</t>
        </is>
      </c>
    </row>
    <row r="772">
      <c r="A772" t="inlineStr">
        <is>
          <t>2026-08-19</t>
        </is>
      </c>
      <c r="B772" t="inlineStr">
        <is>
          <t>Reserve League</t>
        </is>
      </c>
      <c r="C772" t="inlineStr">
        <is>
          <t>Talleres Córdoba Res.</t>
        </is>
      </c>
      <c r="D772" t="inlineStr">
        <is>
          <t>LOCAL</t>
        </is>
      </c>
      <c r="E772" t="inlineStr">
        <is>
          <t>Rosario Central Res.</t>
        </is>
      </c>
      <c r="P772" t="inlineStr">
        <is>
          <t>fixture_id=1611958</t>
        </is>
      </c>
    </row>
    <row r="773">
      <c r="A773" t="inlineStr">
        <is>
          <t>2026-08-19</t>
        </is>
      </c>
      <c r="B773" t="inlineStr">
        <is>
          <t>Pernambucano - U20</t>
        </is>
      </c>
      <c r="C773" t="inlineStr">
        <is>
          <t>CA Porto U20</t>
        </is>
      </c>
      <c r="D773" t="inlineStr">
        <is>
          <t>LOCAL</t>
        </is>
      </c>
      <c r="E773" t="inlineStr">
        <is>
          <t>Santa Cruz U20</t>
        </is>
      </c>
      <c r="P773" t="inlineStr">
        <is>
          <t>fixture_id=1627178</t>
        </is>
      </c>
    </row>
    <row r="774">
      <c r="A774" t="inlineStr">
        <is>
          <t>2026-08-19</t>
        </is>
      </c>
      <c r="B774" t="inlineStr">
        <is>
          <t>1. Liga Classic - Group 3</t>
        </is>
      </c>
      <c r="C774" t="inlineStr">
        <is>
          <t>Winterthur II</t>
        </is>
      </c>
      <c r="D774" t="inlineStr">
        <is>
          <t>LOCAL</t>
        </is>
      </c>
      <c r="E774" t="inlineStr">
        <is>
          <t>Thalwil</t>
        </is>
      </c>
      <c r="P774" t="inlineStr">
        <is>
          <t>fixture_id=1609632</t>
        </is>
      </c>
    </row>
    <row r="775">
      <c r="A775" t="inlineStr">
        <is>
          <t>2026-08-19</t>
        </is>
      </c>
      <c r="B775" t="inlineStr">
        <is>
          <t>1. Liga Classic - Group 2</t>
        </is>
      </c>
      <c r="C775" t="inlineStr">
        <is>
          <t>Buochs</t>
        </is>
      </c>
      <c r="D775" t="inlineStr">
        <is>
          <t>LOCAL</t>
        </is>
      </c>
      <c r="E775" t="inlineStr">
        <is>
          <t>Bassecourt</t>
        </is>
      </c>
      <c r="P775" t="inlineStr">
        <is>
          <t>fixture_id=1610059</t>
        </is>
      </c>
    </row>
    <row r="776">
      <c r="A776" t="inlineStr">
        <is>
          <t>2026-08-19</t>
        </is>
      </c>
      <c r="B776" t="inlineStr">
        <is>
          <t>Friendlies Clubs</t>
        </is>
      </c>
      <c r="C776" t="inlineStr">
        <is>
          <t>CF Talavera</t>
        </is>
      </c>
      <c r="D776" t="inlineStr">
        <is>
          <t>LOCAL</t>
        </is>
      </c>
      <c r="E776" t="inlineStr">
        <is>
          <t>Getafe II</t>
        </is>
      </c>
      <c r="P776" t="inlineStr">
        <is>
          <t>fixture_id=1627011</t>
        </is>
      </c>
    </row>
    <row r="777">
      <c r="A777" t="inlineStr">
        <is>
          <t>2026-08-19</t>
        </is>
      </c>
      <c r="B777" t="inlineStr">
        <is>
          <t>Football League - Lowland League</t>
        </is>
      </c>
      <c r="C777" t="inlineStr">
        <is>
          <t>Auchinleck Talbot</t>
        </is>
      </c>
      <c r="D777" t="inlineStr">
        <is>
          <t>LOCAL</t>
        </is>
      </c>
      <c r="E777" t="inlineStr">
        <is>
          <t>Beith</t>
        </is>
      </c>
      <c r="P777" t="inlineStr">
        <is>
          <t>fixture_id=1578618</t>
        </is>
      </c>
    </row>
    <row r="778">
      <c r="A778" t="inlineStr">
        <is>
          <t>2026-08-19</t>
        </is>
      </c>
      <c r="B778" t="inlineStr">
        <is>
          <t>Football League - Lowland League</t>
        </is>
      </c>
      <c r="C778" t="inlineStr">
        <is>
          <t>Pollok</t>
        </is>
      </c>
      <c r="D778" t="inlineStr">
        <is>
          <t>LOCAL</t>
        </is>
      </c>
      <c r="E778" t="inlineStr">
        <is>
          <t xml:space="preserve"> Johnstone Burgh</t>
        </is>
      </c>
      <c r="P778" t="inlineStr">
        <is>
          <t>fixture_id=1578619</t>
        </is>
      </c>
    </row>
    <row r="779">
      <c r="A779" t="inlineStr">
        <is>
          <t>2026-08-19</t>
        </is>
      </c>
      <c r="B779" t="inlineStr">
        <is>
          <t>Football League - Lowland League</t>
        </is>
      </c>
      <c r="C779" t="inlineStr">
        <is>
          <t>Troon FC</t>
        </is>
      </c>
      <c r="D779" t="inlineStr">
        <is>
          <t>LOCAL</t>
        </is>
      </c>
      <c r="E779" t="inlineStr">
        <is>
          <t>Renfrew</t>
        </is>
      </c>
      <c r="P779" t="inlineStr">
        <is>
          <t>fixture_id=1578620</t>
        </is>
      </c>
    </row>
    <row r="780">
      <c r="A780" t="inlineStr">
        <is>
          <t>2026-08-19</t>
        </is>
      </c>
      <c r="B780" t="inlineStr">
        <is>
          <t>National League - South</t>
        </is>
      </c>
      <c r="C780" t="inlineStr">
        <is>
          <t>Farnborough</t>
        </is>
      </c>
      <c r="D780" t="inlineStr">
        <is>
          <t>LOCAL</t>
        </is>
      </c>
      <c r="E780" t="inlineStr">
        <is>
          <t>Chesham United</t>
        </is>
      </c>
      <c r="P780" t="inlineStr">
        <is>
          <t>fixture_id=1588290</t>
        </is>
      </c>
    </row>
    <row r="781">
      <c r="A781" t="inlineStr">
        <is>
          <t>2026-08-19</t>
        </is>
      </c>
      <c r="B781" t="inlineStr">
        <is>
          <t>Non League Premier - Northern</t>
        </is>
      </c>
      <c r="C781" t="inlineStr">
        <is>
          <t>Avro</t>
        </is>
      </c>
      <c r="D781" t="inlineStr">
        <is>
          <t>LOCAL</t>
        </is>
      </c>
      <c r="E781" t="inlineStr">
        <is>
          <t>Workington</t>
        </is>
      </c>
      <c r="P781" t="inlineStr">
        <is>
          <t>fixture_id=1596385</t>
        </is>
      </c>
    </row>
    <row r="782">
      <c r="A782" t="inlineStr">
        <is>
          <t>2026-08-19</t>
        </is>
      </c>
      <c r="B782" t="inlineStr">
        <is>
          <t>Football League - Highland League</t>
        </is>
      </c>
      <c r="C782" t="inlineStr">
        <is>
          <t>Banks O' Dee</t>
        </is>
      </c>
      <c r="D782" t="inlineStr">
        <is>
          <t>LOCAL</t>
        </is>
      </c>
      <c r="E782" t="inlineStr">
        <is>
          <t>Turriff United</t>
        </is>
      </c>
      <c r="P782" t="inlineStr">
        <is>
          <t>fixture_id=1546938</t>
        </is>
      </c>
    </row>
    <row r="783">
      <c r="A783" t="inlineStr">
        <is>
          <t>2026-08-19</t>
        </is>
      </c>
      <c r="B783" t="inlineStr">
        <is>
          <t>Football League - Highland League</t>
        </is>
      </c>
      <c r="C783" t="inlineStr">
        <is>
          <t>Forres Mechanics</t>
        </is>
      </c>
      <c r="D783" t="inlineStr">
        <is>
          <t>LOCAL</t>
        </is>
      </c>
      <c r="E783" t="inlineStr">
        <is>
          <t>Clachnacuddin</t>
        </is>
      </c>
      <c r="P783" t="inlineStr">
        <is>
          <t>fixture_id=1546940</t>
        </is>
      </c>
    </row>
    <row r="784">
      <c r="A784" t="inlineStr">
        <is>
          <t>2026-08-19</t>
        </is>
      </c>
      <c r="B784" t="inlineStr">
        <is>
          <t>Football League - Highland League</t>
        </is>
      </c>
      <c r="C784" t="inlineStr">
        <is>
          <t>Inverurie Loco Works</t>
        </is>
      </c>
      <c r="D784" t="inlineStr">
        <is>
          <t>LOCAL</t>
        </is>
      </c>
      <c r="E784" t="inlineStr">
        <is>
          <t>Fraserburgh</t>
        </is>
      </c>
      <c r="P784" t="inlineStr">
        <is>
          <t>fixture_id=1546941</t>
        </is>
      </c>
    </row>
    <row r="785">
      <c r="A785" t="inlineStr">
        <is>
          <t>2026-08-19</t>
        </is>
      </c>
      <c r="B785" t="inlineStr">
        <is>
          <t>Football League - Highland League</t>
        </is>
      </c>
      <c r="C785" t="inlineStr">
        <is>
          <t>Nairn County</t>
        </is>
      </c>
      <c r="D785" t="inlineStr">
        <is>
          <t>LOCAL</t>
        </is>
      </c>
      <c r="E785" t="inlineStr">
        <is>
          <t>Lossiemouth</t>
        </is>
      </c>
      <c r="P785" t="inlineStr">
        <is>
          <t>fixture_id=1546943</t>
        </is>
      </c>
    </row>
    <row r="786">
      <c r="A786" t="inlineStr">
        <is>
          <t>2026-08-19</t>
        </is>
      </c>
      <c r="B786" t="inlineStr">
        <is>
          <t>Football League - Highland League</t>
        </is>
      </c>
      <c r="C786" t="inlineStr">
        <is>
          <t>Rothes</t>
        </is>
      </c>
      <c r="D786" t="inlineStr">
        <is>
          <t>LOCAL</t>
        </is>
      </c>
      <c r="E786" t="inlineStr">
        <is>
          <t>Formartine United</t>
        </is>
      </c>
      <c r="P786" t="inlineStr">
        <is>
          <t>fixture_id=1546944</t>
        </is>
      </c>
    </row>
    <row r="787">
      <c r="A787" t="inlineStr">
        <is>
          <t>2026-08-19</t>
        </is>
      </c>
      <c r="B787" t="inlineStr">
        <is>
          <t>Football League - Highland League</t>
        </is>
      </c>
      <c r="C787" t="inlineStr">
        <is>
          <t>Strathspey Thistle</t>
        </is>
      </c>
      <c r="D787" t="inlineStr">
        <is>
          <t>LOCAL</t>
        </is>
      </c>
      <c r="E787" t="inlineStr">
        <is>
          <t>Brora Rangers</t>
        </is>
      </c>
      <c r="P787" t="inlineStr">
        <is>
          <t>fixture_id=1546945</t>
        </is>
      </c>
    </row>
    <row r="788">
      <c r="A788" t="inlineStr">
        <is>
          <t>2026-08-19</t>
        </is>
      </c>
      <c r="B788" t="inlineStr">
        <is>
          <t>Football League - Highland League</t>
        </is>
      </c>
      <c r="C788" t="inlineStr">
        <is>
          <t>Wick Academy</t>
        </is>
      </c>
      <c r="D788" t="inlineStr">
        <is>
          <t>LOCAL</t>
        </is>
      </c>
      <c r="E788" t="inlineStr">
        <is>
          <t>Invergordon</t>
        </is>
      </c>
      <c r="P788" t="inlineStr">
        <is>
          <t>fixture_id=1546946</t>
        </is>
      </c>
    </row>
    <row r="789">
      <c r="A789" t="inlineStr">
        <is>
          <t>2026-08-19</t>
        </is>
      </c>
      <c r="B789" t="inlineStr">
        <is>
          <t>Primera B</t>
        </is>
      </c>
      <c r="C789" t="inlineStr">
        <is>
          <t>Tigres FC</t>
        </is>
      </c>
      <c r="D789" t="inlineStr">
        <is>
          <t>LOCAL</t>
        </is>
      </c>
      <c r="E789" t="inlineStr">
        <is>
          <t>Envigado</t>
        </is>
      </c>
      <c r="P789" t="inlineStr">
        <is>
          <t>fixture_id=1549594</t>
        </is>
      </c>
    </row>
    <row r="790">
      <c r="A790" t="inlineStr">
        <is>
          <t>2026-08-19</t>
        </is>
      </c>
      <c r="B790" t="inlineStr">
        <is>
          <t>Prva Liga</t>
        </is>
      </c>
      <c r="C790" t="inlineStr">
        <is>
          <t>TSC Backa Topola</t>
        </is>
      </c>
      <c r="D790" t="inlineStr">
        <is>
          <t>LOCAL</t>
        </is>
      </c>
      <c r="E790" t="inlineStr">
        <is>
          <t>FK Spartak Zdrepceva KRV</t>
        </is>
      </c>
      <c r="P790" t="inlineStr">
        <is>
          <t>fixture_id=1554125</t>
        </is>
      </c>
    </row>
    <row r="791">
      <c r="A791" t="inlineStr">
        <is>
          <t>2026-08-19</t>
        </is>
      </c>
      <c r="B791" t="inlineStr">
        <is>
          <t>La Liga</t>
        </is>
      </c>
      <c r="C791" t="inlineStr">
        <is>
          <t>Atletico Madrid</t>
        </is>
      </c>
      <c r="D791" t="inlineStr">
        <is>
          <t>LOCAL</t>
        </is>
      </c>
      <c r="E791" t="inlineStr">
        <is>
          <t>Malaga</t>
        </is>
      </c>
      <c r="P791" t="inlineStr">
        <is>
          <t>fixture_id=1570334</t>
        </is>
      </c>
    </row>
    <row r="792">
      <c r="A792" t="inlineStr">
        <is>
          <t>2026-08-19</t>
        </is>
      </c>
      <c r="B792" t="inlineStr">
        <is>
          <t>Liga Revelação U23</t>
        </is>
      </c>
      <c r="C792" t="inlineStr">
        <is>
          <t>Moreirense U23</t>
        </is>
      </c>
      <c r="D792" t="inlineStr">
        <is>
          <t>LOCAL</t>
        </is>
      </c>
      <c r="E792" t="inlineStr">
        <is>
          <t>Famalicão U23</t>
        </is>
      </c>
      <c r="P792" t="inlineStr">
        <is>
          <t>fixture_id=1598648</t>
        </is>
      </c>
    </row>
    <row r="793">
      <c r="A793" t="inlineStr">
        <is>
          <t>2026-08-19</t>
        </is>
      </c>
      <c r="B793" t="inlineStr">
        <is>
          <t>Football League - Highland League</t>
        </is>
      </c>
      <c r="C793" t="inlineStr">
        <is>
          <t>Keith</t>
        </is>
      </c>
      <c r="D793" t="inlineStr">
        <is>
          <t>LOCAL</t>
        </is>
      </c>
      <c r="E793" t="inlineStr">
        <is>
          <t>Deveronvale</t>
        </is>
      </c>
      <c r="P793" t="inlineStr">
        <is>
          <t>fixture_id=1610287</t>
        </is>
      </c>
    </row>
    <row r="794">
      <c r="A794" t="inlineStr">
        <is>
          <t>2026-08-19</t>
        </is>
      </c>
      <c r="B794" t="inlineStr">
        <is>
          <t>UEFA Champions League</t>
        </is>
      </c>
      <c r="C794" t="inlineStr">
        <is>
          <t>Celtic</t>
        </is>
      </c>
      <c r="D794" t="inlineStr">
        <is>
          <t>LOCAL</t>
        </is>
      </c>
      <c r="E794" t="inlineStr">
        <is>
          <t>Lask Linz</t>
        </is>
      </c>
      <c r="P794" t="inlineStr">
        <is>
          <t>fixture_id=1610923</t>
        </is>
      </c>
    </row>
    <row r="795">
      <c r="A795" t="inlineStr">
        <is>
          <t>2026-08-19</t>
        </is>
      </c>
      <c r="B795" t="inlineStr">
        <is>
          <t>Copa de la División Profesional</t>
        </is>
      </c>
      <c r="C795" t="inlineStr">
        <is>
          <t>ABB</t>
        </is>
      </c>
      <c r="D795" t="inlineStr">
        <is>
          <t>LOCAL</t>
        </is>
      </c>
      <c r="E795" t="inlineStr">
        <is>
          <t>Real Potosí</t>
        </is>
      </c>
      <c r="P795" t="inlineStr">
        <is>
          <t>fixture_id=1619655</t>
        </is>
      </c>
    </row>
    <row r="796">
      <c r="A796" t="inlineStr">
        <is>
          <t>2026-08-19</t>
        </is>
      </c>
      <c r="B796" t="inlineStr">
        <is>
          <t>UEFA Champions League</t>
        </is>
      </c>
      <c r="C796" t="inlineStr">
        <is>
          <t>Hapoel Beer Sheva</t>
        </is>
      </c>
      <c r="D796" t="inlineStr">
        <is>
          <t>LOCAL</t>
        </is>
      </c>
      <c r="E796" t="inlineStr">
        <is>
          <t>Sabah FA</t>
        </is>
      </c>
      <c r="P796" t="inlineStr">
        <is>
          <t>fixture_id=1622623</t>
        </is>
      </c>
    </row>
    <row r="797">
      <c r="A797" t="inlineStr">
        <is>
          <t>2026-08-19</t>
        </is>
      </c>
      <c r="B797" t="inlineStr">
        <is>
          <t>UEFA Champions League</t>
        </is>
      </c>
      <c r="C797" t="inlineStr">
        <is>
          <t>NEC Nijmegen</t>
        </is>
      </c>
      <c r="D797" t="inlineStr">
        <is>
          <t>LOCAL</t>
        </is>
      </c>
      <c r="E797" t="inlineStr">
        <is>
          <t>Bodo/Glimt</t>
        </is>
      </c>
      <c r="P797" t="inlineStr">
        <is>
          <t>fixture_id=1622624</t>
        </is>
      </c>
    </row>
    <row r="798">
      <c r="A798" t="inlineStr">
        <is>
          <t>2026-08-19</t>
        </is>
      </c>
      <c r="B798" t="inlineStr">
        <is>
          <t>UEFA Champions League</t>
        </is>
      </c>
      <c r="C798" t="inlineStr">
        <is>
          <t>Slovan Bratislava</t>
        </is>
      </c>
      <c r="D798" t="inlineStr">
        <is>
          <t>LOCAL</t>
        </is>
      </c>
      <c r="E798" t="inlineStr">
        <is>
          <t>Celje</t>
        </is>
      </c>
      <c r="P798" t="inlineStr">
        <is>
          <t>fixture_id=1622625</t>
        </is>
      </c>
    </row>
    <row r="799">
      <c r="A799" t="inlineStr">
        <is>
          <t>2026-08-19</t>
        </is>
      </c>
      <c r="B799" t="inlineStr">
        <is>
          <t>Copa Venezuela</t>
        </is>
      </c>
      <c r="C799" t="inlineStr">
        <is>
          <t>Club Atletico Barinas</t>
        </is>
      </c>
      <c r="D799" t="inlineStr">
        <is>
          <t>LOCAL</t>
        </is>
      </c>
      <c r="E799" t="inlineStr">
        <is>
          <t>Zamora FC</t>
        </is>
      </c>
      <c r="P799" t="inlineStr">
        <is>
          <t>fixture_id=1560806</t>
        </is>
      </c>
    </row>
    <row r="800">
      <c r="A800" t="inlineStr">
        <is>
          <t>2026-08-19</t>
        </is>
      </c>
      <c r="B800" t="inlineStr">
        <is>
          <t>Copa Venezuela</t>
        </is>
      </c>
      <c r="C800" t="inlineStr">
        <is>
          <t>Bolívar</t>
        </is>
      </c>
      <c r="D800" t="inlineStr">
        <is>
          <t>LOCAL</t>
        </is>
      </c>
      <c r="E800" t="inlineStr">
        <is>
          <t>Dinamo de Puerto La Cruz</t>
        </is>
      </c>
      <c r="P800" t="inlineStr">
        <is>
          <t>fixture_id=1560808</t>
        </is>
      </c>
    </row>
    <row r="801">
      <c r="A801" t="inlineStr">
        <is>
          <t>2026-08-19</t>
        </is>
      </c>
      <c r="B801" t="inlineStr">
        <is>
          <t>Copa Venezuela</t>
        </is>
      </c>
      <c r="C801" t="inlineStr">
        <is>
          <t>Atletico el Vigia FC</t>
        </is>
      </c>
      <c r="D801" t="inlineStr">
        <is>
          <t>LOCAL</t>
        </is>
      </c>
      <c r="E801" t="inlineStr">
        <is>
          <t>Real Frontera</t>
        </is>
      </c>
      <c r="P801" t="inlineStr">
        <is>
          <t>fixture_id=1560809</t>
        </is>
      </c>
    </row>
    <row r="802">
      <c r="A802" t="inlineStr">
        <is>
          <t>2026-08-19</t>
        </is>
      </c>
      <c r="B802" t="inlineStr">
        <is>
          <t>Copa Paraguay</t>
        </is>
      </c>
      <c r="C802" t="inlineStr">
        <is>
          <t>Paraguari AC</t>
        </is>
      </c>
      <c r="D802" t="inlineStr">
        <is>
          <t>LOCAL</t>
        </is>
      </c>
      <c r="E802" t="inlineStr">
        <is>
          <t>Sportivo Luqueno</t>
        </is>
      </c>
      <c r="P802" t="inlineStr">
        <is>
          <t>fixture_id=1612596</t>
        </is>
      </c>
    </row>
    <row r="803">
      <c r="A803" t="inlineStr">
        <is>
          <t>2026-08-19</t>
        </is>
      </c>
      <c r="B803" t="inlineStr">
        <is>
          <t>Brasileiro U17</t>
        </is>
      </c>
      <c r="C803" t="inlineStr">
        <is>
          <t>Corinthians U17</t>
        </is>
      </c>
      <c r="D803" t="inlineStr">
        <is>
          <t>LOCAL</t>
        </is>
      </c>
      <c r="E803" t="inlineStr">
        <is>
          <t>Fluminense U17</t>
        </is>
      </c>
      <c r="P803" t="inlineStr">
        <is>
          <t>fixture_id=1543986</t>
        </is>
      </c>
    </row>
    <row r="804">
      <c r="A804" t="inlineStr">
        <is>
          <t>2026-08-19</t>
        </is>
      </c>
      <c r="B804" t="inlineStr">
        <is>
          <t>Primera B</t>
        </is>
      </c>
      <c r="C804" t="inlineStr">
        <is>
          <t>Orsomarso</t>
        </is>
      </c>
      <c r="D804" t="inlineStr">
        <is>
          <t>LOCAL</t>
        </is>
      </c>
      <c r="E804" t="inlineStr">
        <is>
          <t>Tigres FC</t>
        </is>
      </c>
      <c r="P804" t="inlineStr">
        <is>
          <t>fixture_id=1549583</t>
        </is>
      </c>
    </row>
    <row r="805">
      <c r="A805" t="inlineStr">
        <is>
          <t>2026-08-19</t>
        </is>
      </c>
      <c r="B805" t="inlineStr">
        <is>
          <t>Copa Venezuela</t>
        </is>
      </c>
      <c r="C805" t="inlineStr">
        <is>
          <t>Aragua FC</t>
        </is>
      </c>
      <c r="D805" t="inlineStr">
        <is>
          <t>LOCAL</t>
        </is>
      </c>
      <c r="E805" t="inlineStr">
        <is>
          <t>Fundación Lara Deportiva</t>
        </is>
      </c>
      <c r="P805" t="inlineStr">
        <is>
          <t>fixture_id=1560805</t>
        </is>
      </c>
    </row>
    <row r="806">
      <c r="A806" t="inlineStr">
        <is>
          <t>2026-08-19</t>
        </is>
      </c>
      <c r="B806" t="inlineStr">
        <is>
          <t>Copa Venezuela</t>
        </is>
      </c>
      <c r="C806" t="inlineStr">
        <is>
          <t>Monagas SC</t>
        </is>
      </c>
      <c r="D806" t="inlineStr">
        <is>
          <t>LOCAL</t>
        </is>
      </c>
      <c r="E806" t="inlineStr">
        <is>
          <t>Mineros de Guyana</t>
        </is>
      </c>
      <c r="P806" t="inlineStr">
        <is>
          <t>fixture_id=1560812</t>
        </is>
      </c>
    </row>
    <row r="807">
      <c r="A807" t="inlineStr">
        <is>
          <t>2026-08-19</t>
        </is>
      </c>
      <c r="B807" t="inlineStr">
        <is>
          <t>MLS Next Pro</t>
        </is>
      </c>
      <c r="C807" t="inlineStr">
        <is>
          <t>New York City II</t>
        </is>
      </c>
      <c r="D807" t="inlineStr">
        <is>
          <t>LOCAL</t>
        </is>
      </c>
      <c r="E807" t="inlineStr">
        <is>
          <t>FC Cincinnati II</t>
        </is>
      </c>
      <c r="P807" t="inlineStr">
        <is>
          <t>fixture_id=1513295</t>
        </is>
      </c>
    </row>
    <row r="808">
      <c r="A808" t="inlineStr">
        <is>
          <t>2026-08-19</t>
        </is>
      </c>
      <c r="B808" t="inlineStr">
        <is>
          <t>Primera A</t>
        </is>
      </c>
      <c r="C808" t="inlineStr">
        <is>
          <t>Águilas Doradas</t>
        </is>
      </c>
      <c r="D808" t="inlineStr">
        <is>
          <t>LOCAL</t>
        </is>
      </c>
      <c r="E808" t="inlineStr">
        <is>
          <t>Llaneros</t>
        </is>
      </c>
      <c r="P808" t="inlineStr">
        <is>
          <t>fixture_id=1549713</t>
        </is>
      </c>
    </row>
    <row r="809">
      <c r="A809" t="inlineStr">
        <is>
          <t>2026-08-19</t>
        </is>
      </c>
      <c r="B809" t="inlineStr">
        <is>
          <t>Liga Nacional</t>
        </is>
      </c>
      <c r="C809" t="inlineStr">
        <is>
          <t>Cobán Imperial</t>
        </is>
      </c>
      <c r="D809" t="inlineStr">
        <is>
          <t>LOCAL</t>
        </is>
      </c>
      <c r="E809" t="inlineStr">
        <is>
          <t>Antigua GFC</t>
        </is>
      </c>
      <c r="P809" t="inlineStr">
        <is>
          <t>fixture_id=1559595</t>
        </is>
      </c>
    </row>
    <row r="810">
      <c r="A810" t="inlineStr">
        <is>
          <t>2026-08-19</t>
        </is>
      </c>
      <c r="B810" t="inlineStr">
        <is>
          <t>Friendlies Women</t>
        </is>
      </c>
      <c r="C810" t="inlineStr">
        <is>
          <t>United States W U17</t>
        </is>
      </c>
      <c r="D810" t="inlineStr">
        <is>
          <t>LOCAL</t>
        </is>
      </c>
      <c r="E810" t="inlineStr">
        <is>
          <t>Canada W U17</t>
        </is>
      </c>
      <c r="P810" t="inlineStr">
        <is>
          <t>fixture_id=1628972</t>
        </is>
      </c>
    </row>
    <row r="811">
      <c r="A811" t="inlineStr">
        <is>
          <t>2026-08-19</t>
        </is>
      </c>
      <c r="B811" t="inlineStr">
        <is>
          <t>Copa Paulista</t>
        </is>
      </c>
      <c r="C811" t="inlineStr">
        <is>
          <t>União São João</t>
        </is>
      </c>
      <c r="D811" t="inlineStr">
        <is>
          <t>LOCAL</t>
        </is>
      </c>
      <c r="E811" t="inlineStr">
        <is>
          <t>Noroeste</t>
        </is>
      </c>
      <c r="P811" t="inlineStr">
        <is>
          <t>fixture_id=1546108</t>
        </is>
      </c>
    </row>
    <row r="812">
      <c r="A812" t="inlineStr">
        <is>
          <t>2026-08-19</t>
        </is>
      </c>
      <c r="B812" t="inlineStr">
        <is>
          <t>CONMEBOL Libertadores</t>
        </is>
      </c>
      <c r="C812" t="inlineStr">
        <is>
          <t>Cerro Porteno</t>
        </is>
      </c>
      <c r="D812" t="inlineStr">
        <is>
          <t>LOCAL</t>
        </is>
      </c>
      <c r="E812" t="inlineStr">
        <is>
          <t>Palmeiras</t>
        </is>
      </c>
      <c r="P812" t="inlineStr">
        <is>
          <t>fixture_id=1547765</t>
        </is>
      </c>
    </row>
    <row r="813">
      <c r="A813" t="inlineStr">
        <is>
          <t>2026-08-19</t>
        </is>
      </c>
      <c r="B813" t="inlineStr">
        <is>
          <t>CONMEBOL Libertadores</t>
        </is>
      </c>
      <c r="C813" t="inlineStr">
        <is>
          <t>Coquimbo Unido</t>
        </is>
      </c>
      <c r="D813" t="inlineStr">
        <is>
          <t>LOCAL</t>
        </is>
      </c>
      <c r="E813" t="inlineStr">
        <is>
          <t>Platense</t>
        </is>
      </c>
      <c r="P813" t="inlineStr">
        <is>
          <t>fixture_id=1547766</t>
        </is>
      </c>
    </row>
    <row r="814">
      <c r="A814" t="inlineStr">
        <is>
          <t>2026-08-19</t>
        </is>
      </c>
      <c r="B814" t="inlineStr">
        <is>
          <t>CONMEBOL Sudamericana</t>
        </is>
      </c>
      <c r="C814" t="inlineStr">
        <is>
          <t>Atletico-MG</t>
        </is>
      </c>
      <c r="D814" t="inlineStr">
        <is>
          <t>LOCAL</t>
        </is>
      </c>
      <c r="E814" t="inlineStr">
        <is>
          <t>RB Bragantino</t>
        </is>
      </c>
      <c r="P814" t="inlineStr">
        <is>
          <t>fixture_id=1607200</t>
        </is>
      </c>
    </row>
    <row r="815">
      <c r="A815" t="inlineStr">
        <is>
          <t>2026-08-19</t>
        </is>
      </c>
      <c r="B815" t="inlineStr">
        <is>
          <t>CONCACAF Caribbean Club Championship</t>
        </is>
      </c>
      <c r="C815" t="inlineStr">
        <is>
          <t>Delfines Del Este</t>
        </is>
      </c>
      <c r="D815" t="inlineStr">
        <is>
          <t>LOCAL</t>
        </is>
      </c>
      <c r="E815" t="inlineStr">
        <is>
          <t>Violette AC</t>
        </is>
      </c>
      <c r="P815" t="inlineStr">
        <is>
          <t>fixture_id=1610965</t>
        </is>
      </c>
    </row>
    <row r="816">
      <c r="A816" t="inlineStr">
        <is>
          <t>2026-08-19</t>
        </is>
      </c>
      <c r="B816" t="inlineStr">
        <is>
          <t>Copa de la División Profesional</t>
        </is>
      </c>
      <c r="C816" t="inlineStr">
        <is>
          <t>Independiente Petrolero</t>
        </is>
      </c>
      <c r="D816" t="inlineStr">
        <is>
          <t>LOCAL</t>
        </is>
      </c>
      <c r="E816" t="inlineStr">
        <is>
          <t>Blooming</t>
        </is>
      </c>
      <c r="P816" t="inlineStr">
        <is>
          <t>fixture_id=1619656</t>
        </is>
      </c>
    </row>
    <row r="817">
      <c r="A817" t="inlineStr">
        <is>
          <t>2026-08-19</t>
        </is>
      </c>
      <c r="B817" t="inlineStr">
        <is>
          <t>Copa Argentina</t>
        </is>
      </c>
      <c r="C817" t="inlineStr">
        <is>
          <t>Racing Club</t>
        </is>
      </c>
      <c r="D817" t="inlineStr">
        <is>
          <t>LOCAL</t>
        </is>
      </c>
      <c r="E817" t="inlineStr">
        <is>
          <t>Belgrano Cordoba</t>
        </is>
      </c>
      <c r="P817" t="inlineStr">
        <is>
          <t>fixture_id=1593678</t>
        </is>
      </c>
    </row>
    <row r="818">
      <c r="A818" t="inlineStr">
        <is>
          <t>2026-08-19</t>
        </is>
      </c>
      <c r="B818" t="inlineStr">
        <is>
          <t>NWSL Women</t>
        </is>
      </c>
      <c r="C818" t="inlineStr">
        <is>
          <t>Racing Louisville W</t>
        </is>
      </c>
      <c r="D818" t="inlineStr">
        <is>
          <t>LOCAL</t>
        </is>
      </c>
      <c r="E818" t="inlineStr">
        <is>
          <t>Seattle Reign FC W</t>
        </is>
      </c>
      <c r="P818" t="inlineStr">
        <is>
          <t>fixture_id=1508511</t>
        </is>
      </c>
    </row>
    <row r="819">
      <c r="A819" t="inlineStr">
        <is>
          <t>2026-08-19</t>
        </is>
      </c>
      <c r="B819" t="inlineStr">
        <is>
          <t>Serie B</t>
        </is>
      </c>
      <c r="C819" t="inlineStr">
        <is>
          <t>Avai</t>
        </is>
      </c>
      <c r="D819" t="inlineStr">
        <is>
          <t>LOCAL</t>
        </is>
      </c>
      <c r="E819" t="inlineStr">
        <is>
          <t>Sport Recife</t>
        </is>
      </c>
      <c r="P819" t="inlineStr">
        <is>
          <t>fixture_id=1520821</t>
        </is>
      </c>
    </row>
    <row r="820">
      <c r="A820" t="inlineStr">
        <is>
          <t>2026-08-19</t>
        </is>
      </c>
      <c r="B820" t="inlineStr">
        <is>
          <t>Serie B</t>
        </is>
      </c>
      <c r="C820" t="inlineStr">
        <is>
          <t>Fortaleza EC</t>
        </is>
      </c>
      <c r="D820" t="inlineStr">
        <is>
          <t>LOCAL</t>
        </is>
      </c>
      <c r="E820" t="inlineStr">
        <is>
          <t>São Bernardo</t>
        </is>
      </c>
      <c r="P820" t="inlineStr">
        <is>
          <t>fixture_id=1520824</t>
        </is>
      </c>
    </row>
    <row r="821">
      <c r="A821" t="inlineStr">
        <is>
          <t>2026-08-19</t>
        </is>
      </c>
      <c r="B821" t="inlineStr">
        <is>
          <t>Capixaba B</t>
        </is>
      </c>
      <c r="C821" t="inlineStr">
        <is>
          <t>Pinheiros</t>
        </is>
      </c>
      <c r="D821" t="inlineStr">
        <is>
          <t>LOCAL</t>
        </is>
      </c>
      <c r="E821" t="inlineStr">
        <is>
          <t>Estrela do Norte</t>
        </is>
      </c>
      <c r="P821" t="inlineStr">
        <is>
          <t>fixture_id=1548273</t>
        </is>
      </c>
    </row>
    <row r="822">
      <c r="A822" t="inlineStr">
        <is>
          <t>2026-08-19</t>
        </is>
      </c>
      <c r="B822" t="inlineStr">
        <is>
          <t>USL League One</t>
        </is>
      </c>
      <c r="C822" t="inlineStr">
        <is>
          <t>One Knoxville</t>
        </is>
      </c>
      <c r="D822" t="inlineStr">
        <is>
          <t>LOCAL</t>
        </is>
      </c>
      <c r="E822" t="inlineStr">
        <is>
          <t>Portland Hearts of Pine</t>
        </is>
      </c>
      <c r="P822" t="inlineStr">
        <is>
          <t>fixture_id=1493951</t>
        </is>
      </c>
    </row>
    <row r="823">
      <c r="A823" t="inlineStr">
        <is>
          <t>2026-08-19</t>
        </is>
      </c>
      <c r="B823" t="inlineStr">
        <is>
          <t>MLS Next Pro</t>
        </is>
      </c>
      <c r="C823" t="inlineStr">
        <is>
          <t>Crown Legacy</t>
        </is>
      </c>
      <c r="D823" t="inlineStr">
        <is>
          <t>LOCAL</t>
        </is>
      </c>
      <c r="E823" t="inlineStr">
        <is>
          <t>Connecticut FC</t>
        </is>
      </c>
      <c r="P823" t="inlineStr">
        <is>
          <t>fixture_id=1513296</t>
        </is>
      </c>
    </row>
    <row r="824">
      <c r="A824" t="inlineStr">
        <is>
          <t>2026-08-19</t>
        </is>
      </c>
      <c r="B824" t="inlineStr">
        <is>
          <t>MLS Next Pro</t>
        </is>
      </c>
      <c r="C824" t="inlineStr">
        <is>
          <t>Houston Dynamo FC II</t>
        </is>
      </c>
      <c r="D824" t="inlineStr">
        <is>
          <t>LOCAL</t>
        </is>
      </c>
      <c r="E824" t="inlineStr">
        <is>
          <t>The Town</t>
        </is>
      </c>
      <c r="P824" t="inlineStr">
        <is>
          <t>fixture_id=1513297</t>
        </is>
      </c>
    </row>
    <row r="825">
      <c r="A825" t="inlineStr">
        <is>
          <t>2026-08-19</t>
        </is>
      </c>
      <c r="B825" t="inlineStr">
        <is>
          <t>MLS Next Pro</t>
        </is>
      </c>
      <c r="C825" t="inlineStr">
        <is>
          <t>Inter Miami II</t>
        </is>
      </c>
      <c r="D825" t="inlineStr">
        <is>
          <t>LOCAL</t>
        </is>
      </c>
      <c r="E825" t="inlineStr">
        <is>
          <t>New England II</t>
        </is>
      </c>
      <c r="P825" t="inlineStr">
        <is>
          <t>fixture_id=1513298</t>
        </is>
      </c>
    </row>
    <row r="826">
      <c r="A826" t="inlineStr">
        <is>
          <t>2026-08-19</t>
        </is>
      </c>
      <c r="B826" t="inlineStr">
        <is>
          <t>Canadian Premier League</t>
        </is>
      </c>
      <c r="C826" t="inlineStr">
        <is>
          <t>Atlético Ottawa</t>
        </is>
      </c>
      <c r="D826" t="inlineStr">
        <is>
          <t>LOCAL</t>
        </is>
      </c>
      <c r="E826" t="inlineStr">
        <is>
          <t>Vancouver FC</t>
        </is>
      </c>
      <c r="P826" t="inlineStr">
        <is>
          <t>fixture_id=1517329</t>
        </is>
      </c>
    </row>
    <row r="827">
      <c r="A827" t="inlineStr">
        <is>
          <t>2026-08-19</t>
        </is>
      </c>
      <c r="B827" t="inlineStr">
        <is>
          <t>Canadian Premier League</t>
        </is>
      </c>
      <c r="C827" t="inlineStr">
        <is>
          <t>Forge</t>
        </is>
      </c>
      <c r="D827" t="inlineStr">
        <is>
          <t>LOCAL</t>
        </is>
      </c>
      <c r="E827" t="inlineStr">
        <is>
          <t>Supra du Quebec</t>
        </is>
      </c>
      <c r="P827" t="inlineStr">
        <is>
          <t>fixture_id=1517330</t>
        </is>
      </c>
    </row>
    <row r="828">
      <c r="A828" t="inlineStr">
        <is>
          <t>2026-08-19</t>
        </is>
      </c>
      <c r="B828" t="inlineStr">
        <is>
          <t>Primera A</t>
        </is>
      </c>
      <c r="C828" t="inlineStr">
        <is>
          <t>Cucuta</t>
        </is>
      </c>
      <c r="D828" t="inlineStr">
        <is>
          <t>LOCAL</t>
        </is>
      </c>
      <c r="E828" t="inlineStr">
        <is>
          <t>Internacional de Bogota</t>
        </is>
      </c>
      <c r="P828" t="inlineStr">
        <is>
          <t>fixture_id=1549696</t>
        </is>
      </c>
    </row>
    <row r="829">
      <c r="A829" t="inlineStr">
        <is>
          <t>2026-08-19</t>
        </is>
      </c>
      <c r="B829" t="inlineStr">
        <is>
          <t>Copa Venezuela</t>
        </is>
      </c>
      <c r="C829" t="inlineStr">
        <is>
          <t>Atletico Avila FC</t>
        </is>
      </c>
      <c r="D829" t="inlineStr">
        <is>
          <t>LOCAL</t>
        </is>
      </c>
      <c r="E829" t="inlineStr">
        <is>
          <t>Petare FC</t>
        </is>
      </c>
      <c r="P829" t="inlineStr">
        <is>
          <t>fixture_id=1560807</t>
        </is>
      </c>
    </row>
    <row r="830">
      <c r="A830" t="inlineStr">
        <is>
          <t>2026-08-19</t>
        </is>
      </c>
      <c r="B830" t="inlineStr">
        <is>
          <t>Copa Venezuela</t>
        </is>
      </c>
      <c r="C830" t="inlineStr">
        <is>
          <t>Deportivo Lara</t>
        </is>
      </c>
      <c r="D830" t="inlineStr">
        <is>
          <t>LOCAL</t>
        </is>
      </c>
      <c r="E830" t="inlineStr">
        <is>
          <t>Rayo Zuliano</t>
        </is>
      </c>
      <c r="P830" t="inlineStr">
        <is>
          <t>fixture_id=1560810</t>
        </is>
      </c>
    </row>
    <row r="831">
      <c r="A831" t="inlineStr">
        <is>
          <t>2026-08-19</t>
        </is>
      </c>
      <c r="B831" t="inlineStr">
        <is>
          <t>Copa Colombia</t>
        </is>
      </c>
      <c r="C831" t="inlineStr">
        <is>
          <t>Internacional de Bogota</t>
        </is>
      </c>
      <c r="D831" t="inlineStr">
        <is>
          <t>LOCAL</t>
        </is>
      </c>
      <c r="E831" t="inlineStr">
        <is>
          <t>Real Cundinamarca</t>
        </is>
      </c>
      <c r="P831" t="inlineStr">
        <is>
          <t>fixture_id=1607640</t>
        </is>
      </c>
    </row>
    <row r="832">
      <c r="A832" t="inlineStr">
        <is>
          <t>2026-08-19</t>
        </is>
      </c>
      <c r="B832" t="inlineStr">
        <is>
          <t>Major League Soccer</t>
        </is>
      </c>
      <c r="C832" t="inlineStr">
        <is>
          <t>Philadelphia Union</t>
        </is>
      </c>
      <c r="D832" t="inlineStr">
        <is>
          <t>LOCAL</t>
        </is>
      </c>
      <c r="E832" t="inlineStr">
        <is>
          <t>Inter Miami</t>
        </is>
      </c>
      <c r="P832" t="inlineStr">
        <is>
          <t>fixture_id=1490391</t>
        </is>
      </c>
    </row>
    <row r="833">
      <c r="A833" t="inlineStr">
        <is>
          <t>2026-08-19</t>
        </is>
      </c>
      <c r="B833" t="inlineStr">
        <is>
          <t>Major League Soccer</t>
        </is>
      </c>
      <c r="C833" t="inlineStr">
        <is>
          <t>FC Cincinnati</t>
        </is>
      </c>
      <c r="D833" t="inlineStr">
        <is>
          <t>LOCAL</t>
        </is>
      </c>
      <c r="E833" t="inlineStr">
        <is>
          <t>New York City FC</t>
        </is>
      </c>
      <c r="P833" t="inlineStr">
        <is>
          <t>fixture_id=1490392</t>
        </is>
      </c>
    </row>
    <row r="834">
      <c r="A834" t="inlineStr">
        <is>
          <t>2026-08-19</t>
        </is>
      </c>
      <c r="B834" t="inlineStr">
        <is>
          <t>Major League Soccer</t>
        </is>
      </c>
      <c r="C834" t="inlineStr">
        <is>
          <t>Columbus Crew</t>
        </is>
      </c>
      <c r="D834" t="inlineStr">
        <is>
          <t>LOCAL</t>
        </is>
      </c>
      <c r="E834" t="inlineStr">
        <is>
          <t>CF Montreal</t>
        </is>
      </c>
      <c r="P834" t="inlineStr">
        <is>
          <t>fixture_id=1490393</t>
        </is>
      </c>
    </row>
    <row r="835">
      <c r="A835" t="inlineStr">
        <is>
          <t>2026-08-19</t>
        </is>
      </c>
      <c r="B835" t="inlineStr">
        <is>
          <t>Major League Soccer</t>
        </is>
      </c>
      <c r="C835" t="inlineStr">
        <is>
          <t>New York Red Bulls</t>
        </is>
      </c>
      <c r="D835" t="inlineStr">
        <is>
          <t>LOCAL</t>
        </is>
      </c>
      <c r="E835" t="inlineStr">
        <is>
          <t>Nashville SC</t>
        </is>
      </c>
      <c r="P835" t="inlineStr">
        <is>
          <t>fixture_id=1490394</t>
        </is>
      </c>
    </row>
    <row r="836">
      <c r="A836" t="inlineStr">
        <is>
          <t>2026-08-19</t>
        </is>
      </c>
      <c r="B836" t="inlineStr">
        <is>
          <t>Major League Soccer</t>
        </is>
      </c>
      <c r="C836" t="inlineStr">
        <is>
          <t>Orlando City SC</t>
        </is>
      </c>
      <c r="D836" t="inlineStr">
        <is>
          <t>LOCAL</t>
        </is>
      </c>
      <c r="E836" t="inlineStr">
        <is>
          <t>Chicago Fire</t>
        </is>
      </c>
      <c r="P836" t="inlineStr">
        <is>
          <t>fixture_id=1490395</t>
        </is>
      </c>
    </row>
    <row r="837">
      <c r="A837" t="inlineStr">
        <is>
          <t>2026-08-19</t>
        </is>
      </c>
      <c r="B837" t="inlineStr">
        <is>
          <t>Major League Soccer</t>
        </is>
      </c>
      <c r="C837" t="inlineStr">
        <is>
          <t>Toronto FC</t>
        </is>
      </c>
      <c r="D837" t="inlineStr">
        <is>
          <t>LOCAL</t>
        </is>
      </c>
      <c r="E837" t="inlineStr">
        <is>
          <t>Charlotte</t>
        </is>
      </c>
      <c r="P837" t="inlineStr">
        <is>
          <t>fixture_id=1490396</t>
        </is>
      </c>
    </row>
    <row r="838">
      <c r="A838" t="inlineStr">
        <is>
          <t>2026-08-19</t>
        </is>
      </c>
      <c r="B838" t="inlineStr">
        <is>
          <t>Major League Soccer</t>
        </is>
      </c>
      <c r="C838" t="inlineStr">
        <is>
          <t>DC United</t>
        </is>
      </c>
      <c r="D838" t="inlineStr">
        <is>
          <t>LOCAL</t>
        </is>
      </c>
      <c r="E838" t="inlineStr">
        <is>
          <t>New England Revolution</t>
        </is>
      </c>
      <c r="P838" t="inlineStr">
        <is>
          <t>fixture_id=1490397</t>
        </is>
      </c>
    </row>
    <row r="839">
      <c r="A839" t="inlineStr">
        <is>
          <t>2026-08-19</t>
        </is>
      </c>
      <c r="B839" t="inlineStr">
        <is>
          <t>USL League One</t>
        </is>
      </c>
      <c r="C839" t="inlineStr">
        <is>
          <t>Sarasota Paradise</t>
        </is>
      </c>
      <c r="D839" t="inlineStr">
        <is>
          <t>LOCAL</t>
        </is>
      </c>
      <c r="E839" t="inlineStr">
        <is>
          <t>Chattanooga Red Wolves</t>
        </is>
      </c>
      <c r="P839" t="inlineStr">
        <is>
          <t>fixture_id=1493952</t>
        </is>
      </c>
    </row>
    <row r="840">
      <c r="A840" t="inlineStr">
        <is>
          <t>2026-08-19</t>
        </is>
      </c>
      <c r="B840" t="inlineStr">
        <is>
          <t>Serie B</t>
        </is>
      </c>
      <c r="C840" t="inlineStr">
        <is>
          <t>Cuiaba</t>
        </is>
      </c>
      <c r="D840" t="inlineStr">
        <is>
          <t>LOCAL</t>
        </is>
      </c>
      <c r="E840" t="inlineStr">
        <is>
          <t>Operario-PR</t>
        </is>
      </c>
      <c r="P840" t="inlineStr">
        <is>
          <t>fixture_id=1520823</t>
        </is>
      </c>
    </row>
    <row r="841">
      <c r="A841" t="inlineStr">
        <is>
          <t>2026-08-19</t>
        </is>
      </c>
      <c r="B841" t="inlineStr">
        <is>
          <t>Serie B</t>
        </is>
      </c>
      <c r="C841" t="inlineStr">
        <is>
          <t>Vila Nova</t>
        </is>
      </c>
      <c r="D841" t="inlineStr">
        <is>
          <t>LOCAL</t>
        </is>
      </c>
      <c r="E841" t="inlineStr">
        <is>
          <t>Ponte Preta</t>
        </is>
      </c>
      <c r="P841" t="inlineStr">
        <is>
          <t>fixture_id=1520829</t>
        </is>
      </c>
    </row>
    <row r="842">
      <c r="A842" t="inlineStr">
        <is>
          <t>2026-08-19</t>
        </is>
      </c>
      <c r="B842" t="inlineStr">
        <is>
          <t>Major League Soccer</t>
        </is>
      </c>
      <c r="C842" t="inlineStr">
        <is>
          <t>Sporting Kansas City</t>
        </is>
      </c>
      <c r="D842" t="inlineStr">
        <is>
          <t>LOCAL</t>
        </is>
      </c>
      <c r="E842" t="inlineStr">
        <is>
          <t>St. Louis City</t>
        </is>
      </c>
      <c r="P842" t="inlineStr">
        <is>
          <t>fixture_id=1490398</t>
        </is>
      </c>
    </row>
    <row r="843">
      <c r="A843" t="inlineStr">
        <is>
          <t>2026-08-19</t>
        </is>
      </c>
      <c r="B843" t="inlineStr">
        <is>
          <t>NWSL Women</t>
        </is>
      </c>
      <c r="C843" t="inlineStr">
        <is>
          <t>Houston Dash W</t>
        </is>
      </c>
      <c r="D843" t="inlineStr">
        <is>
          <t>LOCAL</t>
        </is>
      </c>
      <c r="E843" t="inlineStr">
        <is>
          <t>Chicago Red Stars W</t>
        </is>
      </c>
      <c r="P843" t="inlineStr">
        <is>
          <t>fixture_id=1508512</t>
        </is>
      </c>
    </row>
    <row r="844">
      <c r="A844" t="inlineStr">
        <is>
          <t>2026-08-19</t>
        </is>
      </c>
      <c r="B844" t="inlineStr">
        <is>
          <t>Copa de la División Profesional</t>
        </is>
      </c>
      <c r="C844" t="inlineStr">
        <is>
          <t>Nacional Potosí</t>
        </is>
      </c>
      <c r="D844" t="inlineStr">
        <is>
          <t>LOCAL</t>
        </is>
      </c>
      <c r="E844" t="inlineStr">
        <is>
          <t>Real Tomayapo</t>
        </is>
      </c>
      <c r="P844" t="inlineStr">
        <is>
          <t>fixture_id=1619657</t>
        </is>
      </c>
    </row>
    <row r="845">
      <c r="A845" t="inlineStr">
        <is>
          <t>2026-08-19</t>
        </is>
      </c>
      <c r="B845" t="inlineStr">
        <is>
          <t>Major League Soccer</t>
        </is>
      </c>
      <c r="C845" t="inlineStr">
        <is>
          <t>Minnesota United FC</t>
        </is>
      </c>
      <c r="D845" t="inlineStr">
        <is>
          <t>LOCAL</t>
        </is>
      </c>
      <c r="E845" t="inlineStr">
        <is>
          <t>Atlanta United FC</t>
        </is>
      </c>
      <c r="P845" t="inlineStr">
        <is>
          <t>fixture_id=1490399</t>
        </is>
      </c>
    </row>
    <row r="846">
      <c r="A846" t="inlineStr">
        <is>
          <t>2026-08-19</t>
        </is>
      </c>
      <c r="B846" t="inlineStr">
        <is>
          <t>USL League One</t>
        </is>
      </c>
      <c r="C846" t="inlineStr">
        <is>
          <t>Corpus Christi</t>
        </is>
      </c>
      <c r="D846" t="inlineStr">
        <is>
          <t>LOCAL</t>
        </is>
      </c>
      <c r="E846" t="inlineStr">
        <is>
          <t>NY Cosmos</t>
        </is>
      </c>
      <c r="P846" t="inlineStr">
        <is>
          <t>fixture_id=1493950</t>
        </is>
      </c>
    </row>
    <row r="847">
      <c r="A847" t="inlineStr">
        <is>
          <t>2026-08-19</t>
        </is>
      </c>
      <c r="B847" t="inlineStr">
        <is>
          <t>Serie B</t>
        </is>
      </c>
      <c r="C847" t="inlineStr">
        <is>
          <t>Botafogo SP</t>
        </is>
      </c>
      <c r="D847" t="inlineStr">
        <is>
          <t>LOCAL</t>
        </is>
      </c>
      <c r="E847" t="inlineStr">
        <is>
          <t>Criciuma</t>
        </is>
      </c>
      <c r="P847" t="inlineStr">
        <is>
          <t>fixture_id=1520822</t>
        </is>
      </c>
    </row>
    <row r="848">
      <c r="A848" t="inlineStr">
        <is>
          <t>2026-08-19</t>
        </is>
      </c>
      <c r="B848" t="inlineStr">
        <is>
          <t>CONMEBOL Libertadores</t>
        </is>
      </c>
      <c r="C848" t="inlineStr">
        <is>
          <t>Flamengo</t>
        </is>
      </c>
      <c r="D848" t="inlineStr">
        <is>
          <t>LOCAL</t>
        </is>
      </c>
      <c r="E848" t="inlineStr">
        <is>
          <t>Cruzeiro</t>
        </is>
      </c>
      <c r="P848" t="inlineStr">
        <is>
          <t>fixture_id=1547768</t>
        </is>
      </c>
    </row>
    <row r="849">
      <c r="A849" t="inlineStr">
        <is>
          <t>2026-08-19</t>
        </is>
      </c>
      <c r="B849" t="inlineStr">
        <is>
          <t>CONMEBOL Sudamericana</t>
        </is>
      </c>
      <c r="C849" t="inlineStr">
        <is>
          <t>Atletico Torque</t>
        </is>
      </c>
      <c r="D849" t="inlineStr">
        <is>
          <t>LOCAL</t>
        </is>
      </c>
      <c r="E849" t="inlineStr">
        <is>
          <t>Tigre</t>
        </is>
      </c>
      <c r="P849" t="inlineStr">
        <is>
          <t>fixture_id=1606079</t>
        </is>
      </c>
    </row>
    <row r="850">
      <c r="A850" t="inlineStr">
        <is>
          <t>2026-08-19</t>
        </is>
      </c>
      <c r="B850" t="inlineStr">
        <is>
          <t>CONMEBOL Sudamericana</t>
        </is>
      </c>
      <c r="C850" t="inlineStr">
        <is>
          <t>Santa Fe</t>
        </is>
      </c>
      <c r="D850" t="inlineStr">
        <is>
          <t>LOCAL</t>
        </is>
      </c>
      <c r="E850" t="inlineStr">
        <is>
          <t>River Plate</t>
        </is>
      </c>
      <c r="P850" t="inlineStr">
        <is>
          <t>fixture_id=1607650</t>
        </is>
      </c>
    </row>
    <row r="851">
      <c r="A851" t="inlineStr">
        <is>
          <t>2026-08-19</t>
        </is>
      </c>
      <c r="B851" t="inlineStr">
        <is>
          <t>Copa Colombia</t>
        </is>
      </c>
      <c r="C851" t="inlineStr">
        <is>
          <t>Once Caldas</t>
        </is>
      </c>
      <c r="D851" t="inlineStr">
        <is>
          <t>LOCAL</t>
        </is>
      </c>
      <c r="E851" t="inlineStr">
        <is>
          <t>Alianza Valledupar</t>
        </is>
      </c>
      <c r="P851" t="inlineStr">
        <is>
          <t>fixture_id=1611288</t>
        </is>
      </c>
    </row>
    <row r="852">
      <c r="A852" t="inlineStr">
        <is>
          <t>2026-08-19</t>
        </is>
      </c>
      <c r="B852" t="inlineStr">
        <is>
          <t>MLS Next Pro</t>
        </is>
      </c>
      <c r="C852" t="inlineStr">
        <is>
          <t>North Texas</t>
        </is>
      </c>
      <c r="D852" t="inlineStr">
        <is>
          <t>LOCAL</t>
        </is>
      </c>
      <c r="E852" t="inlineStr">
        <is>
          <t>Austin II</t>
        </is>
      </c>
      <c r="P852" t="inlineStr">
        <is>
          <t>fixture_id=1513300</t>
        </is>
      </c>
    </row>
    <row r="853">
      <c r="A853" t="inlineStr">
        <is>
          <t>2026-08-19</t>
        </is>
      </c>
      <c r="B853" t="inlineStr">
        <is>
          <t>CONCACAF Central American Cup</t>
        </is>
      </c>
      <c r="C853" t="inlineStr">
        <is>
          <t>Mixco</t>
        </is>
      </c>
      <c r="D853" t="inlineStr">
        <is>
          <t>LOCAL</t>
        </is>
      </c>
      <c r="E853" t="inlineStr">
        <is>
          <t>UMECIT</t>
        </is>
      </c>
      <c r="P853" t="inlineStr">
        <is>
          <t>fixture_id=1548363</t>
        </is>
      </c>
    </row>
    <row r="854">
      <c r="A854" t="inlineStr">
        <is>
          <t>2026-08-19</t>
        </is>
      </c>
      <c r="B854" t="inlineStr">
        <is>
          <t>CONCACAF Central American Cup</t>
        </is>
      </c>
      <c r="C854" t="inlineStr">
        <is>
          <t>CD Marathon</t>
        </is>
      </c>
      <c r="D854" t="inlineStr">
        <is>
          <t>LOCAL</t>
        </is>
      </c>
      <c r="E854" t="inlineStr">
        <is>
          <t>Alianza</t>
        </is>
      </c>
      <c r="P854" t="inlineStr">
        <is>
          <t>fixture_id=1548364</t>
        </is>
      </c>
    </row>
    <row r="855">
      <c r="A855" t="inlineStr">
        <is>
          <t>2026-08-19</t>
        </is>
      </c>
      <c r="B855" t="inlineStr">
        <is>
          <t>Primera B</t>
        </is>
      </c>
      <c r="C855" t="inlineStr">
        <is>
          <t>Patriotas</t>
        </is>
      </c>
      <c r="D855" t="inlineStr">
        <is>
          <t>LOCAL</t>
        </is>
      </c>
      <c r="E855" t="inlineStr">
        <is>
          <t>Orsomarso</t>
        </is>
      </c>
      <c r="P855" t="inlineStr">
        <is>
          <t>fixture_id=1549592</t>
        </is>
      </c>
    </row>
    <row r="856">
      <c r="A856" t="inlineStr">
        <is>
          <t>2026-08-19</t>
        </is>
      </c>
      <c r="B856" t="inlineStr">
        <is>
          <t>Major League Soccer</t>
        </is>
      </c>
      <c r="C856" t="inlineStr">
        <is>
          <t>Colorado Rapids</t>
        </is>
      </c>
      <c r="D856" t="inlineStr">
        <is>
          <t>LOCAL</t>
        </is>
      </c>
      <c r="E856" t="inlineStr">
        <is>
          <t>Los Angeles FC</t>
        </is>
      </c>
      <c r="P856" t="inlineStr">
        <is>
          <t>fixture_id=1490400</t>
        </is>
      </c>
    </row>
    <row r="857">
      <c r="A857" t="inlineStr">
        <is>
          <t>2026-08-19</t>
        </is>
      </c>
      <c r="B857" t="inlineStr">
        <is>
          <t>Major League Soccer</t>
        </is>
      </c>
      <c r="C857" t="inlineStr">
        <is>
          <t>Seattle Sounders</t>
        </is>
      </c>
      <c r="D857" t="inlineStr">
        <is>
          <t>LOCAL</t>
        </is>
      </c>
      <c r="E857" t="inlineStr">
        <is>
          <t>Austin</t>
        </is>
      </c>
      <c r="P857" t="inlineStr">
        <is>
          <t>fixture_id=1490401</t>
        </is>
      </c>
    </row>
    <row r="858">
      <c r="A858" t="inlineStr">
        <is>
          <t>2026-08-19</t>
        </is>
      </c>
      <c r="B858" t="inlineStr">
        <is>
          <t>Major League Soccer</t>
        </is>
      </c>
      <c r="C858" t="inlineStr">
        <is>
          <t>Real Salt Lake</t>
        </is>
      </c>
      <c r="D858" t="inlineStr">
        <is>
          <t>LOCAL</t>
        </is>
      </c>
      <c r="E858" t="inlineStr">
        <is>
          <t>FC Dallas</t>
        </is>
      </c>
      <c r="P858" t="inlineStr">
        <is>
          <t>fixture_id=1490402</t>
        </is>
      </c>
    </row>
    <row r="859">
      <c r="A859" t="inlineStr">
        <is>
          <t>2026-08-19</t>
        </is>
      </c>
      <c r="B859" t="inlineStr">
        <is>
          <t>USL Championship</t>
        </is>
      </c>
      <c r="C859" t="inlineStr">
        <is>
          <t>Phoenix Rising</t>
        </is>
      </c>
      <c r="D859" t="inlineStr">
        <is>
          <t>LOCAL</t>
        </is>
      </c>
      <c r="E859" t="inlineStr">
        <is>
          <t>Colorado Springs</t>
        </is>
      </c>
      <c r="P859" t="inlineStr">
        <is>
          <t>fixture_id=1493639</t>
        </is>
      </c>
    </row>
    <row r="860">
      <c r="A860" t="inlineStr">
        <is>
          <t>2026-08-19</t>
        </is>
      </c>
      <c r="B860" t="inlineStr">
        <is>
          <t>Major League Soccer</t>
        </is>
      </c>
      <c r="C860" t="inlineStr">
        <is>
          <t>Los Angeles Galaxy</t>
        </is>
      </c>
      <c r="D860" t="inlineStr">
        <is>
          <t>LOCAL</t>
        </is>
      </c>
      <c r="E860" t="inlineStr">
        <is>
          <t>San Jose Earthquakes</t>
        </is>
      </c>
      <c r="P860" t="inlineStr">
        <is>
          <t>fixture_id=1490403</t>
        </is>
      </c>
    </row>
    <row r="861">
      <c r="A861" t="inlineStr">
        <is>
          <t>2026-08-19</t>
        </is>
      </c>
      <c r="B861" t="inlineStr">
        <is>
          <t>Major League Soccer</t>
        </is>
      </c>
      <c r="C861" t="inlineStr">
        <is>
          <t>Vancouver Whitecaps</t>
        </is>
      </c>
      <c r="D861" t="inlineStr">
        <is>
          <t>LOCAL</t>
        </is>
      </c>
      <c r="E861" t="inlineStr">
        <is>
          <t>Houston Dynamo</t>
        </is>
      </c>
      <c r="P861" t="inlineStr">
        <is>
          <t>fixture_id=1490404</t>
        </is>
      </c>
    </row>
    <row r="862">
      <c r="A862" t="inlineStr">
        <is>
          <t>2026-08-19</t>
        </is>
      </c>
      <c r="B862" t="inlineStr">
        <is>
          <t>Major League Soccer</t>
        </is>
      </c>
      <c r="C862" t="inlineStr">
        <is>
          <t>Portland Timbers</t>
        </is>
      </c>
      <c r="D862" t="inlineStr">
        <is>
          <t>LOCAL</t>
        </is>
      </c>
      <c r="E862" t="inlineStr">
        <is>
          <t>San Diego</t>
        </is>
      </c>
      <c r="P862" t="inlineStr">
        <is>
          <t>fixture_id=1490405</t>
        </is>
      </c>
    </row>
    <row r="863">
      <c r="A863" t="inlineStr">
        <is>
          <t>2026-08-19</t>
        </is>
      </c>
      <c r="B863" t="inlineStr">
        <is>
          <t>CONCACAF Central American Cup</t>
        </is>
      </c>
      <c r="C863" t="inlineStr">
        <is>
          <t>FAS</t>
        </is>
      </c>
      <c r="D863" t="inlineStr">
        <is>
          <t>LOCAL</t>
        </is>
      </c>
      <c r="E863" t="inlineStr">
        <is>
          <t>Municipal</t>
        </is>
      </c>
      <c r="P863" t="inlineStr">
        <is>
          <t>fixture_id=1548365</t>
        </is>
      </c>
    </row>
    <row r="864">
      <c r="A864" t="inlineStr">
        <is>
          <t>2026-08-19</t>
        </is>
      </c>
      <c r="B864" t="inlineStr">
        <is>
          <t>2. Deild</t>
        </is>
      </c>
    </row>
    <row r="865">
      <c r="A865" t="inlineStr">
        <is>
          <t>2026-08-19</t>
        </is>
      </c>
      <c r="B865" t="inlineStr">
        <is>
          <t>2. Deild</t>
        </is>
      </c>
    </row>
    <row r="866">
      <c r="A866" t="inlineStr">
        <is>
          <t>2026-08-19</t>
        </is>
      </c>
      <c r="B866" t="inlineStr">
        <is>
          <t>2. Deild</t>
        </is>
      </c>
    </row>
    <row r="867">
      <c r="A867" t="inlineStr">
        <is>
          <t>2026-08-19</t>
        </is>
      </c>
      <c r="B867" t="inlineStr">
        <is>
          <t>2. Deild</t>
        </is>
      </c>
    </row>
    <row r="868">
      <c r="A868" t="inlineStr">
        <is>
          <t>2026-08-19</t>
        </is>
      </c>
      <c r="B868" t="inlineStr">
        <is>
          <t>2. Deild</t>
        </is>
      </c>
    </row>
    <row r="869">
      <c r="A869" t="inlineStr">
        <is>
          <t>2026-08-19</t>
        </is>
      </c>
      <c r="B869" t="inlineStr">
        <is>
          <t>2. Deild</t>
        </is>
      </c>
    </row>
    <row r="870">
      <c r="A870" t="inlineStr">
        <is>
          <t>2026-08-19</t>
        </is>
      </c>
      <c r="B870" t="inlineStr">
        <is>
          <t>La Liga</t>
        </is>
      </c>
    </row>
    <row r="871">
      <c r="A871" t="inlineStr">
        <is>
          <t>2026-08-19</t>
        </is>
      </c>
      <c r="B871" t="inlineStr">
        <is>
          <t>Major League Soccer</t>
        </is>
      </c>
    </row>
    <row r="872">
      <c r="A872" t="inlineStr">
        <is>
          <t>2026-08-19</t>
        </is>
      </c>
      <c r="B872" t="inlineStr">
        <is>
          <t>Major League Soccer</t>
        </is>
      </c>
    </row>
    <row r="873">
      <c r="A873" t="inlineStr">
        <is>
          <t>2026-08-19</t>
        </is>
      </c>
      <c r="B873" t="inlineStr">
        <is>
          <t>Major League Soccer</t>
        </is>
      </c>
    </row>
    <row r="874">
      <c r="A874" t="inlineStr">
        <is>
          <t>2026-08-19</t>
        </is>
      </c>
      <c r="B874" t="inlineStr">
        <is>
          <t>Major League Soccer</t>
        </is>
      </c>
    </row>
    <row r="875">
      <c r="A875" t="inlineStr">
        <is>
          <t>2026-08-19</t>
        </is>
      </c>
      <c r="B875" t="inlineStr">
        <is>
          <t>Major League Soccer</t>
        </is>
      </c>
    </row>
    <row r="876">
      <c r="A876" t="inlineStr">
        <is>
          <t>2026-08-19</t>
        </is>
      </c>
      <c r="B876" t="inlineStr">
        <is>
          <t>Major League Soccer</t>
        </is>
      </c>
    </row>
    <row r="877">
      <c r="A877" t="inlineStr">
        <is>
          <t>2026-08-19</t>
        </is>
      </c>
      <c r="B877" t="inlineStr">
        <is>
          <t>Major League Soccer</t>
        </is>
      </c>
    </row>
    <row r="878">
      <c r="A878" t="inlineStr">
        <is>
          <t>2026-08-19</t>
        </is>
      </c>
      <c r="B878" t="inlineStr">
        <is>
          <t>Major League Soccer</t>
        </is>
      </c>
    </row>
    <row r="879">
      <c r="A879" t="inlineStr">
        <is>
          <t>2026-08-19</t>
        </is>
      </c>
      <c r="B879" t="inlineStr">
        <is>
          <t>Major League Soccer</t>
        </is>
      </c>
    </row>
    <row r="880">
      <c r="A880" t="inlineStr">
        <is>
          <t>2026-08-19</t>
        </is>
      </c>
      <c r="B880" t="inlineStr">
        <is>
          <t>Major League Soccer</t>
        </is>
      </c>
    </row>
    <row r="881">
      <c r="A881" t="inlineStr">
        <is>
          <t>2026-08-19</t>
        </is>
      </c>
      <c r="B881" t="inlineStr">
        <is>
          <t>Major League Soccer</t>
        </is>
      </c>
    </row>
    <row r="882">
      <c r="A882" t="inlineStr">
        <is>
          <t>2026-08-19</t>
        </is>
      </c>
      <c r="B882" t="inlineStr">
        <is>
          <t>Major League Soccer</t>
        </is>
      </c>
    </row>
    <row r="883">
      <c r="A883" t="inlineStr">
        <is>
          <t>2026-08-19</t>
        </is>
      </c>
      <c r="B883" t="inlineStr">
        <is>
          <t>Major League Soccer</t>
        </is>
      </c>
    </row>
    <row r="884">
      <c r="A884" t="inlineStr">
        <is>
          <t>2026-08-19</t>
        </is>
      </c>
      <c r="B884" t="inlineStr">
        <is>
          <t>Major League Soccer</t>
        </is>
      </c>
    </row>
    <row r="885">
      <c r="A885" t="inlineStr">
        <is>
          <t>2026-08-19</t>
        </is>
      </c>
      <c r="B885" t="inlineStr">
        <is>
          <t>Major League Soccer</t>
        </is>
      </c>
    </row>
    <row r="886">
      <c r="A886" t="inlineStr">
        <is>
          <t>2026-08-19</t>
        </is>
      </c>
      <c r="B886" t="inlineStr">
        <is>
          <t>Primera A</t>
        </is>
      </c>
    </row>
    <row r="887">
      <c r="A887" t="inlineStr">
        <is>
          <t>2026-08-19</t>
        </is>
      </c>
      <c r="B887" t="inlineStr">
        <is>
          <t>Primera A</t>
        </is>
      </c>
    </row>
    <row r="888">
      <c r="A888" t="inlineStr">
        <is>
          <t>2026-08-19</t>
        </is>
      </c>
      <c r="B888" t="inlineStr">
        <is>
          <t>Primera B</t>
        </is>
      </c>
    </row>
    <row r="889">
      <c r="A889" t="inlineStr">
        <is>
          <t>2026-08-19</t>
        </is>
      </c>
      <c r="B889" t="inlineStr">
        <is>
          <t>Primera B</t>
        </is>
      </c>
    </row>
    <row r="890">
      <c r="A890" t="inlineStr">
        <is>
          <t>2026-08-19</t>
        </is>
      </c>
      <c r="B890" t="inlineStr">
        <is>
          <t>Primera B</t>
        </is>
      </c>
    </row>
    <row r="891">
      <c r="A891" t="inlineStr">
        <is>
          <t>2026-08-19</t>
        </is>
      </c>
      <c r="B891" t="inlineStr">
        <is>
          <t>Primera Nacional</t>
        </is>
      </c>
    </row>
    <row r="892">
      <c r="A892" t="inlineStr">
        <is>
          <t>2026-08-19</t>
        </is>
      </c>
      <c r="B892" t="inlineStr">
        <is>
          <t>Serie B</t>
        </is>
      </c>
    </row>
    <row r="893">
      <c r="A893" t="inlineStr">
        <is>
          <t>2026-08-19</t>
        </is>
      </c>
      <c r="B893" t="inlineStr">
        <is>
          <t>Serie B</t>
        </is>
      </c>
    </row>
    <row r="894">
      <c r="A894" t="inlineStr">
        <is>
          <t>2026-08-19</t>
        </is>
      </c>
      <c r="B894" t="inlineStr">
        <is>
          <t>Serie B</t>
        </is>
      </c>
    </row>
    <row r="895">
      <c r="A895" t="inlineStr">
        <is>
          <t>2026-08-19</t>
        </is>
      </c>
      <c r="B895" t="inlineStr">
        <is>
          <t>Serie B</t>
        </is>
      </c>
    </row>
    <row r="896">
      <c r="A896" t="inlineStr">
        <is>
          <t>2026-08-19</t>
        </is>
      </c>
      <c r="B896" t="inlineStr">
        <is>
          <t>Serie B</t>
        </is>
      </c>
    </row>
    <row r="897">
      <c r="A897" t="inlineStr">
        <is>
          <t>2026-08-19</t>
        </is>
      </c>
      <c r="B897" t="inlineStr">
        <is>
          <t>Super League</t>
        </is>
      </c>
    </row>
    <row r="898">
      <c r="A898" t="inlineStr">
        <is>
          <t>2026-08-19</t>
        </is>
      </c>
      <c r="B898" t="inlineStr">
        <is>
          <t>USL Championship</t>
        </is>
      </c>
    </row>
  </sheetData>
  <autoFilter ref="A1:P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8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8" t="inlineStr">
        <is>
          <t>FECHA</t>
        </is>
      </c>
      <c r="B1" s="8" t="inlineStr">
        <is>
          <t>PARTIDO</t>
        </is>
      </c>
      <c r="C1" s="8" t="inlineStr">
        <is>
          <t>MERCADO</t>
        </is>
      </c>
      <c r="D1" s="8" t="inlineStr">
        <is>
          <t>SELECCIÓN</t>
        </is>
      </c>
      <c r="E1" s="8" t="inlineStr">
        <is>
          <t>CUOTA</t>
        </is>
      </c>
      <c r="F1" s="8" t="inlineStr">
        <is>
          <t>PROB. MODELO</t>
        </is>
      </c>
      <c r="G1" s="8" t="inlineStr">
        <is>
          <t>EV</t>
        </is>
      </c>
      <c r="H1" s="8" t="inlineStr">
        <is>
          <t>PUNTUACIÓN</t>
        </is>
      </c>
      <c r="I1" s="8" t="inlineStr">
        <is>
          <t>NIVEL</t>
        </is>
      </c>
      <c r="J1" s="8" t="inlineStr">
        <is>
          <t>DECISIÓN</t>
        </is>
      </c>
      <c r="K1" s="8" t="inlineStr">
        <is>
          <t>ESTADO</t>
        </is>
      </c>
      <c r="L1" s="8" t="inlineStr">
        <is>
          <t>PROB. MOTOR</t>
        </is>
      </c>
      <c r="M1" s="8" t="inlineStr">
        <is>
          <t>MARGEN</t>
        </is>
      </c>
      <c r="N1" s="8" t="inlineStr">
        <is>
          <t>EV MOTOR</t>
        </is>
      </c>
      <c r="O1" s="8" t="inlineStr">
        <is>
          <t>SCORE MOTOR</t>
        </is>
      </c>
    </row>
    <row r="2">
      <c r="A2" s="2">
        <f>IF(EVALUADOR!Y2="","",EVALUADOR!B2)</f>
        <v/>
      </c>
      <c r="B2" s="2">
        <f>IF(EVALUADOR!Y2="","",EVALUADOR!E2)</f>
        <v/>
      </c>
      <c r="C2" s="2">
        <f>IF(EVALUADOR!Y2="","",EVALUADOR!F2)</f>
        <v/>
      </c>
      <c r="D2" s="2">
        <f>IF(EVALUADOR!Y2="","",EVALUADOR!G2)</f>
        <v/>
      </c>
      <c r="E2" s="6">
        <f>IF(EVALUADOR!Y2="","",EVALUADOR!H2)</f>
        <v/>
      </c>
      <c r="F2" s="7">
        <f>IF(EVALUADOR!Y2="","",EVALUADOR!S2)</f>
        <v/>
      </c>
      <c r="G2" s="7">
        <f>IF(EVALUADOR!Y2="","",EVALUADOR!V2)</f>
        <v/>
      </c>
      <c r="H2" s="2">
        <f>IF(EVALUADOR!Y2="","",EVALUADOR!W2)</f>
        <v/>
      </c>
      <c r="I2" s="2">
        <f>IF(EVALUADOR!Y2="","",EVALUADOR!X2)</f>
        <v/>
      </c>
      <c r="J2" s="2">
        <f>IF(EVALUADOR!Y2="","",EVALUADOR!Y2)</f>
        <v/>
      </c>
      <c r="K2" s="2">
        <f>IF(OR(J2="ALERTA FUERTE",J2="ALERTA MEDIA"),"PENDIENTE","-")</f>
        <v/>
      </c>
      <c r="L2" s="13">
        <f>IF(MOTOR!T2="","",MOTOR!O2)</f>
        <v/>
      </c>
      <c r="M2" s="13">
        <f>IF(MOTOR!T2="","",MOTOR!Q2)</f>
        <v/>
      </c>
      <c r="N2" s="13">
        <f>IF(MOTOR!T2="","",MOTOR!R2)</f>
        <v/>
      </c>
      <c r="O2" s="13">
        <f>IF(MOTOR!T2="","",MOTOR!S2)</f>
        <v/>
      </c>
    </row>
    <row r="3">
      <c r="A3" s="2">
        <f>IF(EVALUADOR!Y3="","",EVALUADOR!B3)</f>
        <v/>
      </c>
      <c r="B3" s="2">
        <f>IF(EVALUADOR!Y3="","",EVALUADOR!E3)</f>
        <v/>
      </c>
      <c r="C3" s="2">
        <f>IF(EVALUADOR!Y3="","",EVALUADOR!F3)</f>
        <v/>
      </c>
      <c r="D3" s="2">
        <f>IF(EVALUADOR!Y3="","",EVALUADOR!G3)</f>
        <v/>
      </c>
      <c r="E3" s="6">
        <f>IF(EVALUADOR!Y3="","",EVALUADOR!H3)</f>
        <v/>
      </c>
      <c r="F3" s="7">
        <f>IF(EVALUADOR!Y3="","",EVALUADOR!S3)</f>
        <v/>
      </c>
      <c r="G3" s="7">
        <f>IF(EVALUADOR!Y3="","",EVALUADOR!V3)</f>
        <v/>
      </c>
      <c r="H3" s="2">
        <f>IF(EVALUADOR!Y3="","",EVALUADOR!W3)</f>
        <v/>
      </c>
      <c r="I3" s="2">
        <f>IF(EVALUADOR!Y3="","",EVALUADOR!X3)</f>
        <v/>
      </c>
      <c r="J3" s="2">
        <f>IF(EVALUADOR!Y3="","",EVALUADOR!Y3)</f>
        <v/>
      </c>
      <c r="K3" s="2">
        <f>IF(OR(J3="ALERTA FUERTE",J3="ALERTA MEDIA"),"PENDIENTE","-")</f>
        <v/>
      </c>
      <c r="L3" s="13">
        <f>IF(MOTOR!T3="","",MOTOR!O3)</f>
        <v/>
      </c>
      <c r="M3" s="13">
        <f>IF(MOTOR!T3="","",MOTOR!Q3)</f>
        <v/>
      </c>
      <c r="N3" s="13">
        <f>IF(MOTOR!T3="","",MOTOR!R3)</f>
        <v/>
      </c>
      <c r="O3" s="13">
        <f>IF(MOTOR!T3="","",MOTOR!S3)</f>
        <v/>
      </c>
    </row>
    <row r="4">
      <c r="A4" s="2">
        <f>IF(EVALUADOR!Y4="","",EVALUADOR!B4)</f>
        <v/>
      </c>
      <c r="B4" s="2">
        <f>IF(EVALUADOR!Y4="","",EVALUADOR!E4)</f>
        <v/>
      </c>
      <c r="C4" s="2">
        <f>IF(EVALUADOR!Y4="","",EVALUADOR!F4)</f>
        <v/>
      </c>
      <c r="D4" s="2">
        <f>IF(EVALUADOR!Y4="","",EVALUADOR!G4)</f>
        <v/>
      </c>
      <c r="E4" s="6">
        <f>IF(EVALUADOR!Y4="","",EVALUADOR!H4)</f>
        <v/>
      </c>
      <c r="F4" s="7">
        <f>IF(EVALUADOR!Y4="","",EVALUADOR!S4)</f>
        <v/>
      </c>
      <c r="G4" s="7">
        <f>IF(EVALUADOR!Y4="","",EVALUADOR!V4)</f>
        <v/>
      </c>
      <c r="H4" s="2">
        <f>IF(EVALUADOR!Y4="","",EVALUADOR!W4)</f>
        <v/>
      </c>
      <c r="I4" s="2">
        <f>IF(EVALUADOR!Y4="","",EVALUADOR!X4)</f>
        <v/>
      </c>
      <c r="J4" s="2">
        <f>IF(EVALUADOR!Y4="","",EVALUADOR!Y4)</f>
        <v/>
      </c>
      <c r="K4" s="2">
        <f>IF(OR(J4="ALERTA FUERTE",J4="ALERTA MEDIA"),"PENDIENTE","-")</f>
        <v/>
      </c>
      <c r="L4" s="13">
        <f>IF(MOTOR!T4="","",MOTOR!O4)</f>
        <v/>
      </c>
      <c r="M4" s="13">
        <f>IF(MOTOR!T4="","",MOTOR!Q4)</f>
        <v/>
      </c>
      <c r="N4" s="13">
        <f>IF(MOTOR!T4="","",MOTOR!R4)</f>
        <v/>
      </c>
      <c r="O4" s="13">
        <f>IF(MOTOR!T4="","",MOTOR!S4)</f>
        <v/>
      </c>
    </row>
    <row r="5">
      <c r="A5" s="2">
        <f>IF(EVALUADOR!Y5="","",EVALUADOR!B5)</f>
        <v/>
      </c>
      <c r="B5" s="2">
        <f>IF(EVALUADOR!Y5="","",EVALUADOR!E5)</f>
        <v/>
      </c>
      <c r="C5" s="2">
        <f>IF(EVALUADOR!Y5="","",EVALUADOR!F5)</f>
        <v/>
      </c>
      <c r="D5" s="2">
        <f>IF(EVALUADOR!Y5="","",EVALUADOR!G5)</f>
        <v/>
      </c>
      <c r="E5" s="6">
        <f>IF(EVALUADOR!Y5="","",EVALUADOR!H5)</f>
        <v/>
      </c>
      <c r="F5" s="7">
        <f>IF(EVALUADOR!Y5="","",EVALUADOR!S5)</f>
        <v/>
      </c>
      <c r="G5" s="7">
        <f>IF(EVALUADOR!Y5="","",EVALUADOR!V5)</f>
        <v/>
      </c>
      <c r="H5" s="2">
        <f>IF(EVALUADOR!Y5="","",EVALUADOR!W5)</f>
        <v/>
      </c>
      <c r="I5" s="2">
        <f>IF(EVALUADOR!Y5="","",EVALUADOR!X5)</f>
        <v/>
      </c>
      <c r="J5" s="2">
        <f>IF(EVALUADOR!Y5="","",EVALUADOR!Y5)</f>
        <v/>
      </c>
      <c r="K5" s="2">
        <f>IF(OR(J5="ALERTA FUERTE",J5="ALERTA MEDIA"),"PENDIENTE","-")</f>
        <v/>
      </c>
      <c r="L5" s="13">
        <f>IF(MOTOR!T5="","",MOTOR!O5)</f>
        <v/>
      </c>
      <c r="M5" s="13">
        <f>IF(MOTOR!T5="","",MOTOR!Q5)</f>
        <v/>
      </c>
      <c r="N5" s="13">
        <f>IF(MOTOR!T5="","",MOTOR!R5)</f>
        <v/>
      </c>
      <c r="O5" s="13">
        <f>IF(MOTOR!T5="","",MOTOR!S5)</f>
        <v/>
      </c>
    </row>
    <row r="6">
      <c r="A6" s="2">
        <f>IF(EVALUADOR!Y6="","",EVALUADOR!B6)</f>
        <v/>
      </c>
      <c r="B6" s="2">
        <f>IF(EVALUADOR!Y6="","",EVALUADOR!E6)</f>
        <v/>
      </c>
      <c r="C6" s="2">
        <f>IF(EVALUADOR!Y6="","",EVALUADOR!F6)</f>
        <v/>
      </c>
      <c r="D6" s="2">
        <f>IF(EVALUADOR!Y6="","",EVALUADOR!G6)</f>
        <v/>
      </c>
      <c r="E6" s="6">
        <f>IF(EVALUADOR!Y6="","",EVALUADOR!H6)</f>
        <v/>
      </c>
      <c r="F6" s="7">
        <f>IF(EVALUADOR!Y6="","",EVALUADOR!S6)</f>
        <v/>
      </c>
      <c r="G6" s="7">
        <f>IF(EVALUADOR!Y6="","",EVALUADOR!V6)</f>
        <v/>
      </c>
      <c r="H6" s="2">
        <f>IF(EVALUADOR!Y6="","",EVALUADOR!W6)</f>
        <v/>
      </c>
      <c r="I6" s="2">
        <f>IF(EVALUADOR!Y6="","",EVALUADOR!X6)</f>
        <v/>
      </c>
      <c r="J6" s="2">
        <f>IF(EVALUADOR!Y6="","",EVALUADOR!Y6)</f>
        <v/>
      </c>
      <c r="K6" s="2">
        <f>IF(OR(J6="ALERTA FUERTE",J6="ALERTA MEDIA"),"PENDIENTE","-")</f>
        <v/>
      </c>
      <c r="L6" s="13">
        <f>IF(MOTOR!T6="","",MOTOR!O6)</f>
        <v/>
      </c>
      <c r="M6" s="13">
        <f>IF(MOTOR!T6="","",MOTOR!Q6)</f>
        <v/>
      </c>
      <c r="N6" s="13">
        <f>IF(MOTOR!T6="","",MOTOR!R6)</f>
        <v/>
      </c>
      <c r="O6" s="13">
        <f>IF(MOTOR!T6="","",MOTOR!S6)</f>
        <v/>
      </c>
    </row>
    <row r="7">
      <c r="A7" s="2">
        <f>IF(EVALUADOR!Y7="","",EVALUADOR!B7)</f>
        <v/>
      </c>
      <c r="B7" s="2">
        <f>IF(EVALUADOR!Y7="","",EVALUADOR!E7)</f>
        <v/>
      </c>
      <c r="C7" s="2">
        <f>IF(EVALUADOR!Y7="","",EVALUADOR!F7)</f>
        <v/>
      </c>
      <c r="D7" s="2">
        <f>IF(EVALUADOR!Y7="","",EVALUADOR!G7)</f>
        <v/>
      </c>
      <c r="E7" s="6">
        <f>IF(EVALUADOR!Y7="","",EVALUADOR!H7)</f>
        <v/>
      </c>
      <c r="F7" s="7">
        <f>IF(EVALUADOR!Y7="","",EVALUADOR!S7)</f>
        <v/>
      </c>
      <c r="G7" s="7">
        <f>IF(EVALUADOR!Y7="","",EVALUADOR!V7)</f>
        <v/>
      </c>
      <c r="H7" s="2">
        <f>IF(EVALUADOR!Y7="","",EVALUADOR!W7)</f>
        <v/>
      </c>
      <c r="I7" s="2">
        <f>IF(EVALUADOR!Y7="","",EVALUADOR!X7)</f>
        <v/>
      </c>
      <c r="J7" s="2">
        <f>IF(EVALUADOR!Y7="","",EVALUADOR!Y7)</f>
        <v/>
      </c>
      <c r="K7" s="2">
        <f>IF(OR(J7="ALERTA FUERTE",J7="ALERTA MEDIA"),"PENDIENTE","-")</f>
        <v/>
      </c>
      <c r="L7" s="13">
        <f>IF(MOTOR!T7="","",MOTOR!O7)</f>
        <v/>
      </c>
      <c r="M7" s="13">
        <f>IF(MOTOR!T7="","",MOTOR!Q7)</f>
        <v/>
      </c>
      <c r="N7" s="13">
        <f>IF(MOTOR!T7="","",MOTOR!R7)</f>
        <v/>
      </c>
      <c r="O7" s="13">
        <f>IF(MOTOR!T7="","",MOTOR!S7)</f>
        <v/>
      </c>
    </row>
    <row r="8">
      <c r="A8" s="2">
        <f>IF(EVALUADOR!Y8="","",EVALUADOR!B8)</f>
        <v/>
      </c>
      <c r="B8" s="2">
        <f>IF(EVALUADOR!Y8="","",EVALUADOR!E8)</f>
        <v/>
      </c>
      <c r="C8" s="2">
        <f>IF(EVALUADOR!Y8="","",EVALUADOR!F8)</f>
        <v/>
      </c>
      <c r="D8" s="2">
        <f>IF(EVALUADOR!Y8="","",EVALUADOR!G8)</f>
        <v/>
      </c>
      <c r="E8" s="6">
        <f>IF(EVALUADOR!Y8="","",EVALUADOR!H8)</f>
        <v/>
      </c>
      <c r="F8" s="7">
        <f>IF(EVALUADOR!Y8="","",EVALUADOR!S8)</f>
        <v/>
      </c>
      <c r="G8" s="7">
        <f>IF(EVALUADOR!Y8="","",EVALUADOR!V8)</f>
        <v/>
      </c>
      <c r="H8" s="2">
        <f>IF(EVALUADOR!Y8="","",EVALUADOR!W8)</f>
        <v/>
      </c>
      <c r="I8" s="2">
        <f>IF(EVALUADOR!Y8="","",EVALUADOR!X8)</f>
        <v/>
      </c>
      <c r="J8" s="2">
        <f>IF(EVALUADOR!Y8="","",EVALUADOR!Y8)</f>
        <v/>
      </c>
      <c r="K8" s="2">
        <f>IF(OR(J8="ALERTA FUERTE",J8="ALERTA MEDIA"),"PENDIENTE","-")</f>
        <v/>
      </c>
      <c r="L8" s="13">
        <f>IF(MOTOR!T8="","",MOTOR!O8)</f>
        <v/>
      </c>
      <c r="M8" s="13">
        <f>IF(MOTOR!T8="","",MOTOR!Q8)</f>
        <v/>
      </c>
      <c r="N8" s="13">
        <f>IF(MOTOR!T8="","",MOTOR!R8)</f>
        <v/>
      </c>
      <c r="O8" s="13">
        <f>IF(MOTOR!T8="","",MOTOR!S8)</f>
        <v/>
      </c>
    </row>
    <row r="9">
      <c r="A9" s="2">
        <f>IF(EVALUADOR!Y9="","",EVALUADOR!B9)</f>
        <v/>
      </c>
      <c r="B9" s="2">
        <f>IF(EVALUADOR!Y9="","",EVALUADOR!E9)</f>
        <v/>
      </c>
      <c r="C9" s="2">
        <f>IF(EVALUADOR!Y9="","",EVALUADOR!F9)</f>
        <v/>
      </c>
      <c r="D9" s="2">
        <f>IF(EVALUADOR!Y9="","",EVALUADOR!G9)</f>
        <v/>
      </c>
      <c r="E9" s="6">
        <f>IF(EVALUADOR!Y9="","",EVALUADOR!H9)</f>
        <v/>
      </c>
      <c r="F9" s="7">
        <f>IF(EVALUADOR!Y9="","",EVALUADOR!S9)</f>
        <v/>
      </c>
      <c r="G9" s="7">
        <f>IF(EVALUADOR!Y9="","",EVALUADOR!V9)</f>
        <v/>
      </c>
      <c r="H9" s="2">
        <f>IF(EVALUADOR!Y9="","",EVALUADOR!W9)</f>
        <v/>
      </c>
      <c r="I9" s="2">
        <f>IF(EVALUADOR!Y9="","",EVALUADOR!X9)</f>
        <v/>
      </c>
      <c r="J9" s="2">
        <f>IF(EVALUADOR!Y9="","",EVALUADOR!Y9)</f>
        <v/>
      </c>
      <c r="K9" s="2">
        <f>IF(OR(J9="ALERTA FUERTE",J9="ALERTA MEDIA"),"PENDIENTE","-")</f>
        <v/>
      </c>
      <c r="L9" s="13">
        <f>IF(MOTOR!T9="","",MOTOR!O9)</f>
        <v/>
      </c>
      <c r="M9" s="13">
        <f>IF(MOTOR!T9="","",MOTOR!Q9)</f>
        <v/>
      </c>
      <c r="N9" s="13">
        <f>IF(MOTOR!T9="","",MOTOR!R9)</f>
        <v/>
      </c>
      <c r="O9" s="13">
        <f>IF(MOTOR!T9="","",MOTOR!S9)</f>
        <v/>
      </c>
    </row>
    <row r="10">
      <c r="A10" s="2">
        <f>IF(EVALUADOR!Y10="","",EVALUADOR!B10)</f>
        <v/>
      </c>
      <c r="B10" s="2">
        <f>IF(EVALUADOR!Y10="","",EVALUADOR!E10)</f>
        <v/>
      </c>
      <c r="C10" s="2">
        <f>IF(EVALUADOR!Y10="","",EVALUADOR!F10)</f>
        <v/>
      </c>
      <c r="D10" s="2">
        <f>IF(EVALUADOR!Y10="","",EVALUADOR!G10)</f>
        <v/>
      </c>
      <c r="E10" s="6">
        <f>IF(EVALUADOR!Y10="","",EVALUADOR!H10)</f>
        <v/>
      </c>
      <c r="F10" s="7">
        <f>IF(EVALUADOR!Y10="","",EVALUADOR!S10)</f>
        <v/>
      </c>
      <c r="G10" s="7">
        <f>IF(EVALUADOR!Y10="","",EVALUADOR!V10)</f>
        <v/>
      </c>
      <c r="H10" s="2">
        <f>IF(EVALUADOR!Y10="","",EVALUADOR!W10)</f>
        <v/>
      </c>
      <c r="I10" s="2">
        <f>IF(EVALUADOR!Y10="","",EVALUADOR!X10)</f>
        <v/>
      </c>
      <c r="J10" s="2">
        <f>IF(EVALUADOR!Y10="","",EVALUADOR!Y10)</f>
        <v/>
      </c>
      <c r="K10" s="2">
        <f>IF(OR(J10="ALERTA FUERTE",J10="ALERTA MEDIA"),"PENDIENTE","-")</f>
        <v/>
      </c>
      <c r="L10" s="13">
        <f>IF(MOTOR!T10="","",MOTOR!O10)</f>
        <v/>
      </c>
      <c r="M10" s="13">
        <f>IF(MOTOR!T10="","",MOTOR!Q10)</f>
        <v/>
      </c>
      <c r="N10" s="13">
        <f>IF(MOTOR!T10="","",MOTOR!R10)</f>
        <v/>
      </c>
      <c r="O10" s="13">
        <f>IF(MOTOR!T10="","",MOTOR!S10)</f>
        <v/>
      </c>
    </row>
    <row r="11">
      <c r="A11" s="2">
        <f>IF(EVALUADOR!Y11="","",EVALUADOR!B11)</f>
        <v/>
      </c>
      <c r="B11" s="2">
        <f>IF(EVALUADOR!Y11="","",EVALUADOR!E11)</f>
        <v/>
      </c>
      <c r="C11" s="2">
        <f>IF(EVALUADOR!Y11="","",EVALUADOR!F11)</f>
        <v/>
      </c>
      <c r="D11" s="2">
        <f>IF(EVALUADOR!Y11="","",EVALUADOR!G11)</f>
        <v/>
      </c>
      <c r="E11" s="6">
        <f>IF(EVALUADOR!Y11="","",EVALUADOR!H11)</f>
        <v/>
      </c>
      <c r="F11" s="7">
        <f>IF(EVALUADOR!Y11="","",EVALUADOR!S11)</f>
        <v/>
      </c>
      <c r="G11" s="7">
        <f>IF(EVALUADOR!Y11="","",EVALUADOR!V11)</f>
        <v/>
      </c>
      <c r="H11" s="2">
        <f>IF(EVALUADOR!Y11="","",EVALUADOR!W11)</f>
        <v/>
      </c>
      <c r="I11" s="2">
        <f>IF(EVALUADOR!Y11="","",EVALUADOR!X11)</f>
        <v/>
      </c>
      <c r="J11" s="2">
        <f>IF(EVALUADOR!Y11="","",EVALUADOR!Y11)</f>
        <v/>
      </c>
      <c r="K11" s="2">
        <f>IF(OR(J11="ALERTA FUERTE",J11="ALERTA MEDIA"),"PENDIENTE","-")</f>
        <v/>
      </c>
      <c r="L11" s="13">
        <f>IF(MOTOR!T11="","",MOTOR!O11)</f>
        <v/>
      </c>
      <c r="M11" s="13">
        <f>IF(MOTOR!T11="","",MOTOR!Q11)</f>
        <v/>
      </c>
      <c r="N11" s="13">
        <f>IF(MOTOR!T11="","",MOTOR!R11)</f>
        <v/>
      </c>
      <c r="O11" s="13">
        <f>IF(MOTOR!T11="","",MOTOR!S11)</f>
        <v/>
      </c>
    </row>
    <row r="12">
      <c r="A12" s="2">
        <f>IF(EVALUADOR!Y12="","",EVALUADOR!B12)</f>
        <v/>
      </c>
      <c r="B12" s="2">
        <f>IF(EVALUADOR!Y12="","",EVALUADOR!E12)</f>
        <v/>
      </c>
      <c r="C12" s="2">
        <f>IF(EVALUADOR!Y12="","",EVALUADOR!F12)</f>
        <v/>
      </c>
      <c r="D12" s="2">
        <f>IF(EVALUADOR!Y12="","",EVALUADOR!G12)</f>
        <v/>
      </c>
      <c r="E12" s="6">
        <f>IF(EVALUADOR!Y12="","",EVALUADOR!H12)</f>
        <v/>
      </c>
      <c r="F12" s="7">
        <f>IF(EVALUADOR!Y12="","",EVALUADOR!S12)</f>
        <v/>
      </c>
      <c r="G12" s="7">
        <f>IF(EVALUADOR!Y12="","",EVALUADOR!V12)</f>
        <v/>
      </c>
      <c r="H12" s="2">
        <f>IF(EVALUADOR!Y12="","",EVALUADOR!W12)</f>
        <v/>
      </c>
      <c r="I12" s="2">
        <f>IF(EVALUADOR!Y12="","",EVALUADOR!X12)</f>
        <v/>
      </c>
      <c r="J12" s="2">
        <f>IF(EVALUADOR!Y12="","",EVALUADOR!Y12)</f>
        <v/>
      </c>
      <c r="K12" s="2">
        <f>IF(OR(J12="ALERTA FUERTE",J12="ALERTA MEDIA"),"PENDIENTE","-")</f>
        <v/>
      </c>
      <c r="L12" s="13">
        <f>IF(MOTOR!T12="","",MOTOR!O12)</f>
        <v/>
      </c>
      <c r="M12" s="13">
        <f>IF(MOTOR!T12="","",MOTOR!Q12)</f>
        <v/>
      </c>
      <c r="N12" s="13">
        <f>IF(MOTOR!T12="","",MOTOR!R12)</f>
        <v/>
      </c>
      <c r="O12" s="13">
        <f>IF(MOTOR!T12="","",MOTOR!S12)</f>
        <v/>
      </c>
    </row>
    <row r="13">
      <c r="A13" s="2">
        <f>IF(EVALUADOR!Y13="","",EVALUADOR!B13)</f>
        <v/>
      </c>
      <c r="B13" s="2">
        <f>IF(EVALUADOR!Y13="","",EVALUADOR!E13)</f>
        <v/>
      </c>
      <c r="C13" s="2">
        <f>IF(EVALUADOR!Y13="","",EVALUADOR!F13)</f>
        <v/>
      </c>
      <c r="D13" s="2">
        <f>IF(EVALUADOR!Y13="","",EVALUADOR!G13)</f>
        <v/>
      </c>
      <c r="E13" s="6">
        <f>IF(EVALUADOR!Y13="","",EVALUADOR!H13)</f>
        <v/>
      </c>
      <c r="F13" s="7">
        <f>IF(EVALUADOR!Y13="","",EVALUADOR!S13)</f>
        <v/>
      </c>
      <c r="G13" s="7">
        <f>IF(EVALUADOR!Y13="","",EVALUADOR!V13)</f>
        <v/>
      </c>
      <c r="H13" s="2">
        <f>IF(EVALUADOR!Y13="","",EVALUADOR!W13)</f>
        <v/>
      </c>
      <c r="I13" s="2">
        <f>IF(EVALUADOR!Y13="","",EVALUADOR!X13)</f>
        <v/>
      </c>
      <c r="J13" s="2">
        <f>IF(EVALUADOR!Y13="","",EVALUADOR!Y13)</f>
        <v/>
      </c>
      <c r="K13" s="2">
        <f>IF(OR(J13="ALERTA FUERTE",J13="ALERTA MEDIA"),"PENDIENTE","-")</f>
        <v/>
      </c>
      <c r="L13" s="13">
        <f>IF(MOTOR!T13="","",MOTOR!O13)</f>
        <v/>
      </c>
      <c r="M13" s="13">
        <f>IF(MOTOR!T13="","",MOTOR!Q13)</f>
        <v/>
      </c>
      <c r="N13" s="13">
        <f>IF(MOTOR!T13="","",MOTOR!R13)</f>
        <v/>
      </c>
      <c r="O13" s="13">
        <f>IF(MOTOR!T13="","",MOTOR!S13)</f>
        <v/>
      </c>
    </row>
    <row r="14">
      <c r="A14" s="2">
        <f>IF(EVALUADOR!Y14="","",EVALUADOR!B14)</f>
        <v/>
      </c>
      <c r="B14" s="2">
        <f>IF(EVALUADOR!Y14="","",EVALUADOR!E14)</f>
        <v/>
      </c>
      <c r="C14" s="2">
        <f>IF(EVALUADOR!Y14="","",EVALUADOR!F14)</f>
        <v/>
      </c>
      <c r="D14" s="2">
        <f>IF(EVALUADOR!Y14="","",EVALUADOR!G14)</f>
        <v/>
      </c>
      <c r="E14" s="6">
        <f>IF(EVALUADOR!Y14="","",EVALUADOR!H14)</f>
        <v/>
      </c>
      <c r="F14" s="7">
        <f>IF(EVALUADOR!Y14="","",EVALUADOR!S14)</f>
        <v/>
      </c>
      <c r="G14" s="7">
        <f>IF(EVALUADOR!Y14="","",EVALUADOR!V14)</f>
        <v/>
      </c>
      <c r="H14" s="2">
        <f>IF(EVALUADOR!Y14="","",EVALUADOR!W14)</f>
        <v/>
      </c>
      <c r="I14" s="2">
        <f>IF(EVALUADOR!Y14="","",EVALUADOR!X14)</f>
        <v/>
      </c>
      <c r="J14" s="2">
        <f>IF(EVALUADOR!Y14="","",EVALUADOR!Y14)</f>
        <v/>
      </c>
      <c r="K14" s="2">
        <f>IF(OR(J14="ALERTA FUERTE",J14="ALERTA MEDIA"),"PENDIENTE","-")</f>
        <v/>
      </c>
      <c r="L14" s="13">
        <f>IF(MOTOR!T14="","",MOTOR!O14)</f>
        <v/>
      </c>
      <c r="M14" s="13">
        <f>IF(MOTOR!T14="","",MOTOR!Q14)</f>
        <v/>
      </c>
      <c r="N14" s="13">
        <f>IF(MOTOR!T14="","",MOTOR!R14)</f>
        <v/>
      </c>
      <c r="O14" s="13">
        <f>IF(MOTOR!T14="","",MOTOR!S14)</f>
        <v/>
      </c>
    </row>
    <row r="15">
      <c r="A15" s="2">
        <f>IF(EVALUADOR!Y15="","",EVALUADOR!B15)</f>
        <v/>
      </c>
      <c r="B15" s="2">
        <f>IF(EVALUADOR!Y15="","",EVALUADOR!E15)</f>
        <v/>
      </c>
      <c r="C15" s="2">
        <f>IF(EVALUADOR!Y15="","",EVALUADOR!F15)</f>
        <v/>
      </c>
      <c r="D15" s="2">
        <f>IF(EVALUADOR!Y15="","",EVALUADOR!G15)</f>
        <v/>
      </c>
      <c r="E15" s="6">
        <f>IF(EVALUADOR!Y15="","",EVALUADOR!H15)</f>
        <v/>
      </c>
      <c r="F15" s="7">
        <f>IF(EVALUADOR!Y15="","",EVALUADOR!S15)</f>
        <v/>
      </c>
      <c r="G15" s="7">
        <f>IF(EVALUADOR!Y15="","",EVALUADOR!V15)</f>
        <v/>
      </c>
      <c r="H15" s="2">
        <f>IF(EVALUADOR!Y15="","",EVALUADOR!W15)</f>
        <v/>
      </c>
      <c r="I15" s="2">
        <f>IF(EVALUADOR!Y15="","",EVALUADOR!X15)</f>
        <v/>
      </c>
      <c r="J15" s="2">
        <f>IF(EVALUADOR!Y15="","",EVALUADOR!Y15)</f>
        <v/>
      </c>
      <c r="K15" s="2">
        <f>IF(OR(J15="ALERTA FUERTE",J15="ALERTA MEDIA"),"PENDIENTE","-")</f>
        <v/>
      </c>
      <c r="L15" s="13">
        <f>IF(MOTOR!T15="","",MOTOR!O15)</f>
        <v/>
      </c>
      <c r="M15" s="13">
        <f>IF(MOTOR!T15="","",MOTOR!Q15)</f>
        <v/>
      </c>
      <c r="N15" s="13">
        <f>IF(MOTOR!T15="","",MOTOR!R15)</f>
        <v/>
      </c>
      <c r="O15" s="13">
        <f>IF(MOTOR!T15="","",MOTOR!S15)</f>
        <v/>
      </c>
    </row>
    <row r="16">
      <c r="A16" s="2">
        <f>IF(EVALUADOR!Y16="","",EVALUADOR!B16)</f>
        <v/>
      </c>
      <c r="B16" s="2">
        <f>IF(EVALUADOR!Y16="","",EVALUADOR!E16)</f>
        <v/>
      </c>
      <c r="C16" s="2">
        <f>IF(EVALUADOR!Y16="","",EVALUADOR!F16)</f>
        <v/>
      </c>
      <c r="D16" s="2">
        <f>IF(EVALUADOR!Y16="","",EVALUADOR!G16)</f>
        <v/>
      </c>
      <c r="E16" s="6">
        <f>IF(EVALUADOR!Y16="","",EVALUADOR!H16)</f>
        <v/>
      </c>
      <c r="F16" s="7">
        <f>IF(EVALUADOR!Y16="","",EVALUADOR!S16)</f>
        <v/>
      </c>
      <c r="G16" s="7">
        <f>IF(EVALUADOR!Y16="","",EVALUADOR!V16)</f>
        <v/>
      </c>
      <c r="H16" s="2">
        <f>IF(EVALUADOR!Y16="","",EVALUADOR!W16)</f>
        <v/>
      </c>
      <c r="I16" s="2">
        <f>IF(EVALUADOR!Y16="","",EVALUADOR!X16)</f>
        <v/>
      </c>
      <c r="J16" s="2">
        <f>IF(EVALUADOR!Y16="","",EVALUADOR!Y16)</f>
        <v/>
      </c>
      <c r="K16" s="2">
        <f>IF(OR(J16="ALERTA FUERTE",J16="ALERTA MEDIA"),"PENDIENTE","-")</f>
        <v/>
      </c>
      <c r="L16" s="13">
        <f>IF(MOTOR!T16="","",MOTOR!O16)</f>
        <v/>
      </c>
      <c r="M16" s="13">
        <f>IF(MOTOR!T16="","",MOTOR!Q16)</f>
        <v/>
      </c>
      <c r="N16" s="13">
        <f>IF(MOTOR!T16="","",MOTOR!R16)</f>
        <v/>
      </c>
      <c r="O16" s="13">
        <f>IF(MOTOR!T16="","",MOTOR!S16)</f>
        <v/>
      </c>
    </row>
    <row r="17">
      <c r="A17" s="2">
        <f>IF(EVALUADOR!Y17="","",EVALUADOR!B17)</f>
        <v/>
      </c>
      <c r="B17" s="2">
        <f>IF(EVALUADOR!Y17="","",EVALUADOR!E17)</f>
        <v/>
      </c>
      <c r="C17" s="2">
        <f>IF(EVALUADOR!Y17="","",EVALUADOR!F17)</f>
        <v/>
      </c>
      <c r="D17" s="2">
        <f>IF(EVALUADOR!Y17="","",EVALUADOR!G17)</f>
        <v/>
      </c>
      <c r="E17" s="6">
        <f>IF(EVALUADOR!Y17="","",EVALUADOR!H17)</f>
        <v/>
      </c>
      <c r="F17" s="7">
        <f>IF(EVALUADOR!Y17="","",EVALUADOR!S17)</f>
        <v/>
      </c>
      <c r="G17" s="7">
        <f>IF(EVALUADOR!Y17="","",EVALUADOR!V17)</f>
        <v/>
      </c>
      <c r="H17" s="2">
        <f>IF(EVALUADOR!Y17="","",EVALUADOR!W17)</f>
        <v/>
      </c>
      <c r="I17" s="2">
        <f>IF(EVALUADOR!Y17="","",EVALUADOR!X17)</f>
        <v/>
      </c>
      <c r="J17" s="2">
        <f>IF(EVALUADOR!Y17="","",EVALUADOR!Y17)</f>
        <v/>
      </c>
      <c r="K17" s="2">
        <f>IF(OR(J17="ALERTA FUERTE",J17="ALERTA MEDIA"),"PENDIENTE","-")</f>
        <v/>
      </c>
      <c r="L17" s="13">
        <f>IF(MOTOR!T17="","",MOTOR!O17)</f>
        <v/>
      </c>
      <c r="M17" s="13">
        <f>IF(MOTOR!T17="","",MOTOR!Q17)</f>
        <v/>
      </c>
      <c r="N17" s="13">
        <f>IF(MOTOR!T17="","",MOTOR!R17)</f>
        <v/>
      </c>
      <c r="O17" s="13">
        <f>IF(MOTOR!T17="","",MOTOR!S17)</f>
        <v/>
      </c>
    </row>
    <row r="18">
      <c r="A18" s="2">
        <f>IF(EVALUADOR!Y18="","",EVALUADOR!B18)</f>
        <v/>
      </c>
      <c r="B18" s="2">
        <f>IF(EVALUADOR!Y18="","",EVALUADOR!E18)</f>
        <v/>
      </c>
      <c r="C18" s="2">
        <f>IF(EVALUADOR!Y18="","",EVALUADOR!F18)</f>
        <v/>
      </c>
      <c r="D18" s="2">
        <f>IF(EVALUADOR!Y18="","",EVALUADOR!G18)</f>
        <v/>
      </c>
      <c r="E18" s="6">
        <f>IF(EVALUADOR!Y18="","",EVALUADOR!H18)</f>
        <v/>
      </c>
      <c r="F18" s="7">
        <f>IF(EVALUADOR!Y18="","",EVALUADOR!S18)</f>
        <v/>
      </c>
      <c r="G18" s="7">
        <f>IF(EVALUADOR!Y18="","",EVALUADOR!V18)</f>
        <v/>
      </c>
      <c r="H18" s="2">
        <f>IF(EVALUADOR!Y18="","",EVALUADOR!W18)</f>
        <v/>
      </c>
      <c r="I18" s="2">
        <f>IF(EVALUADOR!Y18="","",EVALUADOR!X18)</f>
        <v/>
      </c>
      <c r="J18" s="2">
        <f>IF(EVALUADOR!Y18="","",EVALUADOR!Y18)</f>
        <v/>
      </c>
      <c r="K18" s="2">
        <f>IF(OR(J18="ALERTA FUERTE",J18="ALERTA MEDIA"),"PENDIENTE","-")</f>
        <v/>
      </c>
      <c r="L18" s="13">
        <f>IF(MOTOR!T18="","",MOTOR!O18)</f>
        <v/>
      </c>
      <c r="M18" s="13">
        <f>IF(MOTOR!T18="","",MOTOR!Q18)</f>
        <v/>
      </c>
      <c r="N18" s="13">
        <f>IF(MOTOR!T18="","",MOTOR!R18)</f>
        <v/>
      </c>
      <c r="O18" s="13">
        <f>IF(MOTOR!T18="","",MOTOR!S18)</f>
        <v/>
      </c>
    </row>
    <row r="19">
      <c r="A19" s="2">
        <f>IF(EVALUADOR!Y19="","",EVALUADOR!B19)</f>
        <v/>
      </c>
      <c r="B19" s="2">
        <f>IF(EVALUADOR!Y19="","",EVALUADOR!E19)</f>
        <v/>
      </c>
      <c r="C19" s="2">
        <f>IF(EVALUADOR!Y19="","",EVALUADOR!F19)</f>
        <v/>
      </c>
      <c r="D19" s="2">
        <f>IF(EVALUADOR!Y19="","",EVALUADOR!G19)</f>
        <v/>
      </c>
      <c r="E19" s="6">
        <f>IF(EVALUADOR!Y19="","",EVALUADOR!H19)</f>
        <v/>
      </c>
      <c r="F19" s="7">
        <f>IF(EVALUADOR!Y19="","",EVALUADOR!S19)</f>
        <v/>
      </c>
      <c r="G19" s="7">
        <f>IF(EVALUADOR!Y19="","",EVALUADOR!V19)</f>
        <v/>
      </c>
      <c r="H19" s="2">
        <f>IF(EVALUADOR!Y19="","",EVALUADOR!W19)</f>
        <v/>
      </c>
      <c r="I19" s="2">
        <f>IF(EVALUADOR!Y19="","",EVALUADOR!X19)</f>
        <v/>
      </c>
      <c r="J19" s="2">
        <f>IF(EVALUADOR!Y19="","",EVALUADOR!Y19)</f>
        <v/>
      </c>
      <c r="K19" s="2">
        <f>IF(OR(J19="ALERTA FUERTE",J19="ALERTA MEDIA"),"PENDIENTE","-")</f>
        <v/>
      </c>
      <c r="L19" s="13">
        <f>IF(MOTOR!T19="","",MOTOR!O19)</f>
        <v/>
      </c>
      <c r="M19" s="13">
        <f>IF(MOTOR!T19="","",MOTOR!Q19)</f>
        <v/>
      </c>
      <c r="N19" s="13">
        <f>IF(MOTOR!T19="","",MOTOR!R19)</f>
        <v/>
      </c>
      <c r="O19" s="13">
        <f>IF(MOTOR!T19="","",MOTOR!S19)</f>
        <v/>
      </c>
    </row>
    <row r="20">
      <c r="A20" s="2">
        <f>IF(EVALUADOR!Y20="","",EVALUADOR!B20)</f>
        <v/>
      </c>
      <c r="B20" s="2">
        <f>IF(EVALUADOR!Y20="","",EVALUADOR!E20)</f>
        <v/>
      </c>
      <c r="C20" s="2">
        <f>IF(EVALUADOR!Y20="","",EVALUADOR!F20)</f>
        <v/>
      </c>
      <c r="D20" s="2">
        <f>IF(EVALUADOR!Y20="","",EVALUADOR!G20)</f>
        <v/>
      </c>
      <c r="E20" s="6">
        <f>IF(EVALUADOR!Y20="","",EVALUADOR!H20)</f>
        <v/>
      </c>
      <c r="F20" s="7">
        <f>IF(EVALUADOR!Y20="","",EVALUADOR!S20)</f>
        <v/>
      </c>
      <c r="G20" s="7">
        <f>IF(EVALUADOR!Y20="","",EVALUADOR!V20)</f>
        <v/>
      </c>
      <c r="H20" s="2">
        <f>IF(EVALUADOR!Y20="","",EVALUADOR!W20)</f>
        <v/>
      </c>
      <c r="I20" s="2">
        <f>IF(EVALUADOR!Y20="","",EVALUADOR!X20)</f>
        <v/>
      </c>
      <c r="J20" s="2">
        <f>IF(EVALUADOR!Y20="","",EVALUADOR!Y20)</f>
        <v/>
      </c>
      <c r="K20" s="2">
        <f>IF(OR(J20="ALERTA FUERTE",J20="ALERTA MEDIA"),"PENDIENTE","-")</f>
        <v/>
      </c>
      <c r="L20" s="13">
        <f>IF(MOTOR!T20="","",MOTOR!O20)</f>
        <v/>
      </c>
      <c r="M20" s="13">
        <f>IF(MOTOR!T20="","",MOTOR!Q20)</f>
        <v/>
      </c>
      <c r="N20" s="13">
        <f>IF(MOTOR!T20="","",MOTOR!R20)</f>
        <v/>
      </c>
      <c r="O20" s="13">
        <f>IF(MOTOR!T20="","",MOTOR!S20)</f>
        <v/>
      </c>
    </row>
    <row r="21">
      <c r="A21" s="2">
        <f>IF(EVALUADOR!Y21="","",EVALUADOR!B21)</f>
        <v/>
      </c>
      <c r="B21" s="2">
        <f>IF(EVALUADOR!Y21="","",EVALUADOR!E21)</f>
        <v/>
      </c>
      <c r="C21" s="2">
        <f>IF(EVALUADOR!Y21="","",EVALUADOR!F21)</f>
        <v/>
      </c>
      <c r="D21" s="2">
        <f>IF(EVALUADOR!Y21="","",EVALUADOR!G21)</f>
        <v/>
      </c>
      <c r="E21" s="6">
        <f>IF(EVALUADOR!Y21="","",EVALUADOR!H21)</f>
        <v/>
      </c>
      <c r="F21" s="7">
        <f>IF(EVALUADOR!Y21="","",EVALUADOR!S21)</f>
        <v/>
      </c>
      <c r="G21" s="7">
        <f>IF(EVALUADOR!Y21="","",EVALUADOR!V21)</f>
        <v/>
      </c>
      <c r="H21" s="2">
        <f>IF(EVALUADOR!Y21="","",EVALUADOR!W21)</f>
        <v/>
      </c>
      <c r="I21" s="2">
        <f>IF(EVALUADOR!Y21="","",EVALUADOR!X21)</f>
        <v/>
      </c>
      <c r="J21" s="2">
        <f>IF(EVALUADOR!Y21="","",EVALUADOR!Y21)</f>
        <v/>
      </c>
      <c r="K21" s="2">
        <f>IF(OR(J21="ALERTA FUERTE",J21="ALERTA MEDIA"),"PENDIENTE","-")</f>
        <v/>
      </c>
      <c r="L21" s="13">
        <f>IF(MOTOR!T21="","",MOTOR!O21)</f>
        <v/>
      </c>
      <c r="M21" s="13">
        <f>IF(MOTOR!T21="","",MOTOR!Q21)</f>
        <v/>
      </c>
      <c r="N21" s="13">
        <f>IF(MOTOR!T21="","",MOTOR!R21)</f>
        <v/>
      </c>
      <c r="O21" s="13">
        <f>IF(MOTOR!T21="","",MOTOR!S21)</f>
        <v/>
      </c>
    </row>
    <row r="22">
      <c r="A22" s="2">
        <f>IF(EVALUADOR!Y22="","",EVALUADOR!B22)</f>
        <v/>
      </c>
      <c r="B22" s="2">
        <f>IF(EVALUADOR!Y22="","",EVALUADOR!E22)</f>
        <v/>
      </c>
      <c r="C22" s="2">
        <f>IF(EVALUADOR!Y22="","",EVALUADOR!F22)</f>
        <v/>
      </c>
      <c r="D22" s="2">
        <f>IF(EVALUADOR!Y22="","",EVALUADOR!G22)</f>
        <v/>
      </c>
      <c r="E22" s="6">
        <f>IF(EVALUADOR!Y22="","",EVALUADOR!H22)</f>
        <v/>
      </c>
      <c r="F22" s="7">
        <f>IF(EVALUADOR!Y22="","",EVALUADOR!S22)</f>
        <v/>
      </c>
      <c r="G22" s="7">
        <f>IF(EVALUADOR!Y22="","",EVALUADOR!V22)</f>
        <v/>
      </c>
      <c r="H22" s="2">
        <f>IF(EVALUADOR!Y22="","",EVALUADOR!W22)</f>
        <v/>
      </c>
      <c r="I22" s="2">
        <f>IF(EVALUADOR!Y22="","",EVALUADOR!X22)</f>
        <v/>
      </c>
      <c r="J22" s="2">
        <f>IF(EVALUADOR!Y22="","",EVALUADOR!Y22)</f>
        <v/>
      </c>
      <c r="K22" s="2">
        <f>IF(OR(J22="ALERTA FUERTE",J22="ALERTA MEDIA"),"PENDIENTE","-")</f>
        <v/>
      </c>
      <c r="L22" s="13">
        <f>IF(MOTOR!T22="","",MOTOR!O22)</f>
        <v/>
      </c>
      <c r="M22" s="13">
        <f>IF(MOTOR!T22="","",MOTOR!Q22)</f>
        <v/>
      </c>
      <c r="N22" s="13">
        <f>IF(MOTOR!T22="","",MOTOR!R22)</f>
        <v/>
      </c>
      <c r="O22" s="13">
        <f>IF(MOTOR!T22="","",MOTOR!S22)</f>
        <v/>
      </c>
    </row>
    <row r="23">
      <c r="A23" s="2">
        <f>IF(EVALUADOR!Y23="","",EVALUADOR!B23)</f>
        <v/>
      </c>
      <c r="B23" s="2">
        <f>IF(EVALUADOR!Y23="","",EVALUADOR!E23)</f>
        <v/>
      </c>
      <c r="C23" s="2">
        <f>IF(EVALUADOR!Y23="","",EVALUADOR!F23)</f>
        <v/>
      </c>
      <c r="D23" s="2">
        <f>IF(EVALUADOR!Y23="","",EVALUADOR!G23)</f>
        <v/>
      </c>
      <c r="E23" s="6">
        <f>IF(EVALUADOR!Y23="","",EVALUADOR!H23)</f>
        <v/>
      </c>
      <c r="F23" s="7">
        <f>IF(EVALUADOR!Y23="","",EVALUADOR!S23)</f>
        <v/>
      </c>
      <c r="G23" s="7">
        <f>IF(EVALUADOR!Y23="","",EVALUADOR!V23)</f>
        <v/>
      </c>
      <c r="H23" s="2">
        <f>IF(EVALUADOR!Y23="","",EVALUADOR!W23)</f>
        <v/>
      </c>
      <c r="I23" s="2">
        <f>IF(EVALUADOR!Y23="","",EVALUADOR!X23)</f>
        <v/>
      </c>
      <c r="J23" s="2">
        <f>IF(EVALUADOR!Y23="","",EVALUADOR!Y23)</f>
        <v/>
      </c>
      <c r="K23" s="2">
        <f>IF(OR(J23="ALERTA FUERTE",J23="ALERTA MEDIA"),"PENDIENTE","-")</f>
        <v/>
      </c>
      <c r="L23" s="13">
        <f>IF(MOTOR!T23="","",MOTOR!O23)</f>
        <v/>
      </c>
      <c r="M23" s="13">
        <f>IF(MOTOR!T23="","",MOTOR!Q23)</f>
        <v/>
      </c>
      <c r="N23" s="13">
        <f>IF(MOTOR!T23="","",MOTOR!R23)</f>
        <v/>
      </c>
      <c r="O23" s="13">
        <f>IF(MOTOR!T23="","",MOTOR!S23)</f>
        <v/>
      </c>
    </row>
    <row r="24">
      <c r="A24" s="2">
        <f>IF(EVALUADOR!Y24="","",EVALUADOR!B24)</f>
        <v/>
      </c>
      <c r="B24" s="2">
        <f>IF(EVALUADOR!Y24="","",EVALUADOR!E24)</f>
        <v/>
      </c>
      <c r="C24" s="2">
        <f>IF(EVALUADOR!Y24="","",EVALUADOR!F24)</f>
        <v/>
      </c>
      <c r="D24" s="2">
        <f>IF(EVALUADOR!Y24="","",EVALUADOR!G24)</f>
        <v/>
      </c>
      <c r="E24" s="6">
        <f>IF(EVALUADOR!Y24="","",EVALUADOR!H24)</f>
        <v/>
      </c>
      <c r="F24" s="7">
        <f>IF(EVALUADOR!Y24="","",EVALUADOR!S24)</f>
        <v/>
      </c>
      <c r="G24" s="7">
        <f>IF(EVALUADOR!Y24="","",EVALUADOR!V24)</f>
        <v/>
      </c>
      <c r="H24" s="2">
        <f>IF(EVALUADOR!Y24="","",EVALUADOR!W24)</f>
        <v/>
      </c>
      <c r="I24" s="2">
        <f>IF(EVALUADOR!Y24="","",EVALUADOR!X24)</f>
        <v/>
      </c>
      <c r="J24" s="2">
        <f>IF(EVALUADOR!Y24="","",EVALUADOR!Y24)</f>
        <v/>
      </c>
      <c r="K24" s="2">
        <f>IF(OR(J24="ALERTA FUERTE",J24="ALERTA MEDIA"),"PENDIENTE","-")</f>
        <v/>
      </c>
      <c r="L24" s="13">
        <f>IF(MOTOR!T24="","",MOTOR!O24)</f>
        <v/>
      </c>
      <c r="M24" s="13">
        <f>IF(MOTOR!T24="","",MOTOR!Q24)</f>
        <v/>
      </c>
      <c r="N24" s="13">
        <f>IF(MOTOR!T24="","",MOTOR!R24)</f>
        <v/>
      </c>
      <c r="O24" s="13">
        <f>IF(MOTOR!T24="","",MOTOR!S24)</f>
        <v/>
      </c>
    </row>
    <row r="25">
      <c r="A25" s="2">
        <f>IF(EVALUADOR!Y25="","",EVALUADOR!B25)</f>
        <v/>
      </c>
      <c r="B25" s="2">
        <f>IF(EVALUADOR!Y25="","",EVALUADOR!E25)</f>
        <v/>
      </c>
      <c r="C25" s="2">
        <f>IF(EVALUADOR!Y25="","",EVALUADOR!F25)</f>
        <v/>
      </c>
      <c r="D25" s="2">
        <f>IF(EVALUADOR!Y25="","",EVALUADOR!G25)</f>
        <v/>
      </c>
      <c r="E25" s="6">
        <f>IF(EVALUADOR!Y25="","",EVALUADOR!H25)</f>
        <v/>
      </c>
      <c r="F25" s="7">
        <f>IF(EVALUADOR!Y25="","",EVALUADOR!S25)</f>
        <v/>
      </c>
      <c r="G25" s="7">
        <f>IF(EVALUADOR!Y25="","",EVALUADOR!V25)</f>
        <v/>
      </c>
      <c r="H25" s="2">
        <f>IF(EVALUADOR!Y25="","",EVALUADOR!W25)</f>
        <v/>
      </c>
      <c r="I25" s="2">
        <f>IF(EVALUADOR!Y25="","",EVALUADOR!X25)</f>
        <v/>
      </c>
      <c r="J25" s="2">
        <f>IF(EVALUADOR!Y25="","",EVALUADOR!Y25)</f>
        <v/>
      </c>
      <c r="K25" s="2">
        <f>IF(OR(J25="ALERTA FUERTE",J25="ALERTA MEDIA"),"PENDIENTE","-")</f>
        <v/>
      </c>
      <c r="L25" s="13">
        <f>IF(MOTOR!T25="","",MOTOR!O25)</f>
        <v/>
      </c>
      <c r="M25" s="13">
        <f>IF(MOTOR!T25="","",MOTOR!Q25)</f>
        <v/>
      </c>
      <c r="N25" s="13">
        <f>IF(MOTOR!T25="","",MOTOR!R25)</f>
        <v/>
      </c>
      <c r="O25" s="13">
        <f>IF(MOTOR!T25="","",MOTOR!S25)</f>
        <v/>
      </c>
    </row>
    <row r="26">
      <c r="A26" s="2">
        <f>IF(EVALUADOR!Y26="","",EVALUADOR!B26)</f>
        <v/>
      </c>
      <c r="B26" s="2">
        <f>IF(EVALUADOR!Y26="","",EVALUADOR!E26)</f>
        <v/>
      </c>
      <c r="C26" s="2">
        <f>IF(EVALUADOR!Y26="","",EVALUADOR!F26)</f>
        <v/>
      </c>
      <c r="D26" s="2">
        <f>IF(EVALUADOR!Y26="","",EVALUADOR!G26)</f>
        <v/>
      </c>
      <c r="E26" s="6">
        <f>IF(EVALUADOR!Y26="","",EVALUADOR!H26)</f>
        <v/>
      </c>
      <c r="F26" s="7">
        <f>IF(EVALUADOR!Y26="","",EVALUADOR!S26)</f>
        <v/>
      </c>
      <c r="G26" s="7">
        <f>IF(EVALUADOR!Y26="","",EVALUADOR!V26)</f>
        <v/>
      </c>
      <c r="H26" s="2">
        <f>IF(EVALUADOR!Y26="","",EVALUADOR!W26)</f>
        <v/>
      </c>
      <c r="I26" s="2">
        <f>IF(EVALUADOR!Y26="","",EVALUADOR!X26)</f>
        <v/>
      </c>
      <c r="J26" s="2">
        <f>IF(EVALUADOR!Y26="","",EVALUADOR!Y26)</f>
        <v/>
      </c>
      <c r="K26" s="2">
        <f>IF(OR(J26="ALERTA FUERTE",J26="ALERTA MEDIA"),"PENDIENTE","-")</f>
        <v/>
      </c>
      <c r="L26" s="13">
        <f>IF(MOTOR!T26="","",MOTOR!O26)</f>
        <v/>
      </c>
      <c r="M26" s="13">
        <f>IF(MOTOR!T26="","",MOTOR!Q26)</f>
        <v/>
      </c>
      <c r="N26" s="13">
        <f>IF(MOTOR!T26="","",MOTOR!R26)</f>
        <v/>
      </c>
      <c r="O26" s="13">
        <f>IF(MOTOR!T26="","",MOTOR!S26)</f>
        <v/>
      </c>
    </row>
    <row r="27">
      <c r="A27" s="2">
        <f>IF(EVALUADOR!Y27="","",EVALUADOR!B27)</f>
        <v/>
      </c>
      <c r="B27" s="2">
        <f>IF(EVALUADOR!Y27="","",EVALUADOR!E27)</f>
        <v/>
      </c>
      <c r="C27" s="2">
        <f>IF(EVALUADOR!Y27="","",EVALUADOR!F27)</f>
        <v/>
      </c>
      <c r="D27" s="2">
        <f>IF(EVALUADOR!Y27="","",EVALUADOR!G27)</f>
        <v/>
      </c>
      <c r="E27" s="6">
        <f>IF(EVALUADOR!Y27="","",EVALUADOR!H27)</f>
        <v/>
      </c>
      <c r="F27" s="7">
        <f>IF(EVALUADOR!Y27="","",EVALUADOR!S27)</f>
        <v/>
      </c>
      <c r="G27" s="7">
        <f>IF(EVALUADOR!Y27="","",EVALUADOR!V27)</f>
        <v/>
      </c>
      <c r="H27" s="2">
        <f>IF(EVALUADOR!Y27="","",EVALUADOR!W27)</f>
        <v/>
      </c>
      <c r="I27" s="2">
        <f>IF(EVALUADOR!Y27="","",EVALUADOR!X27)</f>
        <v/>
      </c>
      <c r="J27" s="2">
        <f>IF(EVALUADOR!Y27="","",EVALUADOR!Y27)</f>
        <v/>
      </c>
      <c r="K27" s="2">
        <f>IF(OR(J27="ALERTA FUERTE",J27="ALERTA MEDIA"),"PENDIENTE","-")</f>
        <v/>
      </c>
      <c r="L27" s="13">
        <f>IF(MOTOR!T27="","",MOTOR!O27)</f>
        <v/>
      </c>
      <c r="M27" s="13">
        <f>IF(MOTOR!T27="","",MOTOR!Q27)</f>
        <v/>
      </c>
      <c r="N27" s="13">
        <f>IF(MOTOR!T27="","",MOTOR!R27)</f>
        <v/>
      </c>
      <c r="O27" s="13">
        <f>IF(MOTOR!T27="","",MOTOR!S27)</f>
        <v/>
      </c>
    </row>
    <row r="28">
      <c r="A28" s="2">
        <f>IF(EVALUADOR!Y28="","",EVALUADOR!B28)</f>
        <v/>
      </c>
      <c r="B28" s="2">
        <f>IF(EVALUADOR!Y28="","",EVALUADOR!E28)</f>
        <v/>
      </c>
      <c r="C28" s="2">
        <f>IF(EVALUADOR!Y28="","",EVALUADOR!F28)</f>
        <v/>
      </c>
      <c r="D28" s="2">
        <f>IF(EVALUADOR!Y28="","",EVALUADOR!G28)</f>
        <v/>
      </c>
      <c r="E28" s="6">
        <f>IF(EVALUADOR!Y28="","",EVALUADOR!H28)</f>
        <v/>
      </c>
      <c r="F28" s="7">
        <f>IF(EVALUADOR!Y28="","",EVALUADOR!S28)</f>
        <v/>
      </c>
      <c r="G28" s="7">
        <f>IF(EVALUADOR!Y28="","",EVALUADOR!V28)</f>
        <v/>
      </c>
      <c r="H28" s="2">
        <f>IF(EVALUADOR!Y28="","",EVALUADOR!W28)</f>
        <v/>
      </c>
      <c r="I28" s="2">
        <f>IF(EVALUADOR!Y28="","",EVALUADOR!X28)</f>
        <v/>
      </c>
      <c r="J28" s="2">
        <f>IF(EVALUADOR!Y28="","",EVALUADOR!Y28)</f>
        <v/>
      </c>
      <c r="K28" s="2">
        <f>IF(OR(J28="ALERTA FUERTE",J28="ALERTA MEDIA"),"PENDIENTE","-")</f>
        <v/>
      </c>
      <c r="L28" s="13">
        <f>IF(MOTOR!T28="","",MOTOR!O28)</f>
        <v/>
      </c>
      <c r="M28" s="13">
        <f>IF(MOTOR!T28="","",MOTOR!Q28)</f>
        <v/>
      </c>
      <c r="N28" s="13">
        <f>IF(MOTOR!T28="","",MOTOR!R28)</f>
        <v/>
      </c>
      <c r="O28" s="13">
        <f>IF(MOTOR!T28="","",MOTOR!S28)</f>
        <v/>
      </c>
    </row>
    <row r="29">
      <c r="A29" s="2">
        <f>IF(EVALUADOR!Y29="","",EVALUADOR!B29)</f>
        <v/>
      </c>
      <c r="B29" s="2">
        <f>IF(EVALUADOR!Y29="","",EVALUADOR!E29)</f>
        <v/>
      </c>
      <c r="C29" s="2">
        <f>IF(EVALUADOR!Y29="","",EVALUADOR!F29)</f>
        <v/>
      </c>
      <c r="D29" s="2">
        <f>IF(EVALUADOR!Y29="","",EVALUADOR!G29)</f>
        <v/>
      </c>
      <c r="E29" s="6">
        <f>IF(EVALUADOR!Y29="","",EVALUADOR!H29)</f>
        <v/>
      </c>
      <c r="F29" s="7">
        <f>IF(EVALUADOR!Y29="","",EVALUADOR!S29)</f>
        <v/>
      </c>
      <c r="G29" s="7">
        <f>IF(EVALUADOR!Y29="","",EVALUADOR!V29)</f>
        <v/>
      </c>
      <c r="H29" s="2">
        <f>IF(EVALUADOR!Y29="","",EVALUADOR!W29)</f>
        <v/>
      </c>
      <c r="I29" s="2">
        <f>IF(EVALUADOR!Y29="","",EVALUADOR!X29)</f>
        <v/>
      </c>
      <c r="J29" s="2">
        <f>IF(EVALUADOR!Y29="","",EVALUADOR!Y29)</f>
        <v/>
      </c>
      <c r="K29" s="2">
        <f>IF(OR(J29="ALERTA FUERTE",J29="ALERTA MEDIA"),"PENDIENTE","-")</f>
        <v/>
      </c>
      <c r="L29" s="13">
        <f>IF(MOTOR!T29="","",MOTOR!O29)</f>
        <v/>
      </c>
      <c r="M29" s="13">
        <f>IF(MOTOR!T29="","",MOTOR!Q29)</f>
        <v/>
      </c>
      <c r="N29" s="13">
        <f>IF(MOTOR!T29="","",MOTOR!R29)</f>
        <v/>
      </c>
      <c r="O29" s="13">
        <f>IF(MOTOR!T29="","",MOTOR!S29)</f>
        <v/>
      </c>
    </row>
    <row r="30">
      <c r="A30" s="2">
        <f>IF(EVALUADOR!Y30="","",EVALUADOR!B30)</f>
        <v/>
      </c>
      <c r="B30" s="2">
        <f>IF(EVALUADOR!Y30="","",EVALUADOR!E30)</f>
        <v/>
      </c>
      <c r="C30" s="2">
        <f>IF(EVALUADOR!Y30="","",EVALUADOR!F30)</f>
        <v/>
      </c>
      <c r="D30" s="2">
        <f>IF(EVALUADOR!Y30="","",EVALUADOR!G30)</f>
        <v/>
      </c>
      <c r="E30" s="6">
        <f>IF(EVALUADOR!Y30="","",EVALUADOR!H30)</f>
        <v/>
      </c>
      <c r="F30" s="7">
        <f>IF(EVALUADOR!Y30="","",EVALUADOR!S30)</f>
        <v/>
      </c>
      <c r="G30" s="7">
        <f>IF(EVALUADOR!Y30="","",EVALUADOR!V30)</f>
        <v/>
      </c>
      <c r="H30" s="2">
        <f>IF(EVALUADOR!Y30="","",EVALUADOR!W30)</f>
        <v/>
      </c>
      <c r="I30" s="2">
        <f>IF(EVALUADOR!Y30="","",EVALUADOR!X30)</f>
        <v/>
      </c>
      <c r="J30" s="2">
        <f>IF(EVALUADOR!Y30="","",EVALUADOR!Y30)</f>
        <v/>
      </c>
      <c r="K30" s="2">
        <f>IF(OR(J30="ALERTA FUERTE",J30="ALERTA MEDIA"),"PENDIENTE","-")</f>
        <v/>
      </c>
      <c r="L30" s="13">
        <f>IF(MOTOR!T30="","",MOTOR!O30)</f>
        <v/>
      </c>
      <c r="M30" s="13">
        <f>IF(MOTOR!T30="","",MOTOR!Q30)</f>
        <v/>
      </c>
      <c r="N30" s="13">
        <f>IF(MOTOR!T30="","",MOTOR!R30)</f>
        <v/>
      </c>
      <c r="O30" s="13">
        <f>IF(MOTOR!T30="","",MOTOR!S30)</f>
        <v/>
      </c>
    </row>
    <row r="31">
      <c r="A31" s="2">
        <f>IF(EVALUADOR!Y31="","",EVALUADOR!B31)</f>
        <v/>
      </c>
      <c r="B31" s="2">
        <f>IF(EVALUADOR!Y31="","",EVALUADOR!E31)</f>
        <v/>
      </c>
      <c r="C31" s="2">
        <f>IF(EVALUADOR!Y31="","",EVALUADOR!F31)</f>
        <v/>
      </c>
      <c r="D31" s="2">
        <f>IF(EVALUADOR!Y31="","",EVALUADOR!G31)</f>
        <v/>
      </c>
      <c r="E31" s="6">
        <f>IF(EVALUADOR!Y31="","",EVALUADOR!H31)</f>
        <v/>
      </c>
      <c r="F31" s="7">
        <f>IF(EVALUADOR!Y31="","",EVALUADOR!S31)</f>
        <v/>
      </c>
      <c r="G31" s="7">
        <f>IF(EVALUADOR!Y31="","",EVALUADOR!V31)</f>
        <v/>
      </c>
      <c r="H31" s="2">
        <f>IF(EVALUADOR!Y31="","",EVALUADOR!W31)</f>
        <v/>
      </c>
      <c r="I31" s="2">
        <f>IF(EVALUADOR!Y31="","",EVALUADOR!X31)</f>
        <v/>
      </c>
      <c r="J31" s="2">
        <f>IF(EVALUADOR!Y31="","",EVALUADOR!Y31)</f>
        <v/>
      </c>
      <c r="K31" s="2">
        <f>IF(OR(J31="ALERTA FUERTE",J31="ALERTA MEDIA"),"PENDIENTE","-")</f>
        <v/>
      </c>
      <c r="L31" s="13">
        <f>IF(MOTOR!T31="","",MOTOR!O31)</f>
        <v/>
      </c>
      <c r="M31" s="13">
        <f>IF(MOTOR!T31="","",MOTOR!Q31)</f>
        <v/>
      </c>
      <c r="N31" s="13">
        <f>IF(MOTOR!T31="","",MOTOR!R31)</f>
        <v/>
      </c>
      <c r="O31" s="13">
        <f>IF(MOTOR!T31="","",MOTOR!S31)</f>
        <v/>
      </c>
    </row>
    <row r="32">
      <c r="A32" s="2">
        <f>IF(EVALUADOR!Y32="","",EVALUADOR!B32)</f>
        <v/>
      </c>
      <c r="B32" s="2">
        <f>IF(EVALUADOR!Y32="","",EVALUADOR!E32)</f>
        <v/>
      </c>
      <c r="C32" s="2">
        <f>IF(EVALUADOR!Y32="","",EVALUADOR!F32)</f>
        <v/>
      </c>
      <c r="D32" s="2">
        <f>IF(EVALUADOR!Y32="","",EVALUADOR!G32)</f>
        <v/>
      </c>
      <c r="E32" s="6">
        <f>IF(EVALUADOR!Y32="","",EVALUADOR!H32)</f>
        <v/>
      </c>
      <c r="F32" s="7">
        <f>IF(EVALUADOR!Y32="","",EVALUADOR!S32)</f>
        <v/>
      </c>
      <c r="G32" s="7">
        <f>IF(EVALUADOR!Y32="","",EVALUADOR!V32)</f>
        <v/>
      </c>
      <c r="H32" s="2">
        <f>IF(EVALUADOR!Y32="","",EVALUADOR!W32)</f>
        <v/>
      </c>
      <c r="I32" s="2">
        <f>IF(EVALUADOR!Y32="","",EVALUADOR!X32)</f>
        <v/>
      </c>
      <c r="J32" s="2">
        <f>IF(EVALUADOR!Y32="","",EVALUADOR!Y32)</f>
        <v/>
      </c>
      <c r="K32" s="2">
        <f>IF(OR(J32="ALERTA FUERTE",J32="ALERTA MEDIA"),"PENDIENTE","-")</f>
        <v/>
      </c>
      <c r="L32" s="13">
        <f>IF(MOTOR!T32="","",MOTOR!O32)</f>
        <v/>
      </c>
      <c r="M32" s="13">
        <f>IF(MOTOR!T32="","",MOTOR!Q32)</f>
        <v/>
      </c>
      <c r="N32" s="13">
        <f>IF(MOTOR!T32="","",MOTOR!R32)</f>
        <v/>
      </c>
      <c r="O32" s="13">
        <f>IF(MOTOR!T32="","",MOTOR!S32)</f>
        <v/>
      </c>
    </row>
    <row r="33">
      <c r="A33" s="2">
        <f>IF(EVALUADOR!Y33="","",EVALUADOR!B33)</f>
        <v/>
      </c>
      <c r="B33" s="2">
        <f>IF(EVALUADOR!Y33="","",EVALUADOR!E33)</f>
        <v/>
      </c>
      <c r="C33" s="2">
        <f>IF(EVALUADOR!Y33="","",EVALUADOR!F33)</f>
        <v/>
      </c>
      <c r="D33" s="2">
        <f>IF(EVALUADOR!Y33="","",EVALUADOR!G33)</f>
        <v/>
      </c>
      <c r="E33" s="6">
        <f>IF(EVALUADOR!Y33="","",EVALUADOR!H33)</f>
        <v/>
      </c>
      <c r="F33" s="7">
        <f>IF(EVALUADOR!Y33="","",EVALUADOR!S33)</f>
        <v/>
      </c>
      <c r="G33" s="7">
        <f>IF(EVALUADOR!Y33="","",EVALUADOR!V33)</f>
        <v/>
      </c>
      <c r="H33" s="2">
        <f>IF(EVALUADOR!Y33="","",EVALUADOR!W33)</f>
        <v/>
      </c>
      <c r="I33" s="2">
        <f>IF(EVALUADOR!Y33="","",EVALUADOR!X33)</f>
        <v/>
      </c>
      <c r="J33" s="2">
        <f>IF(EVALUADOR!Y33="","",EVALUADOR!Y33)</f>
        <v/>
      </c>
      <c r="K33" s="2">
        <f>IF(OR(J33="ALERTA FUERTE",J33="ALERTA MEDIA"),"PENDIENTE","-")</f>
        <v/>
      </c>
      <c r="L33" s="13">
        <f>IF(MOTOR!T33="","",MOTOR!O33)</f>
        <v/>
      </c>
      <c r="M33" s="13">
        <f>IF(MOTOR!T33="","",MOTOR!Q33)</f>
        <v/>
      </c>
      <c r="N33" s="13">
        <f>IF(MOTOR!T33="","",MOTOR!R33)</f>
        <v/>
      </c>
      <c r="O33" s="13">
        <f>IF(MOTOR!T33="","",MOTOR!S33)</f>
        <v/>
      </c>
    </row>
    <row r="34">
      <c r="A34" s="2">
        <f>IF(EVALUADOR!Y34="","",EVALUADOR!B34)</f>
        <v/>
      </c>
      <c r="B34" s="2">
        <f>IF(EVALUADOR!Y34="","",EVALUADOR!E34)</f>
        <v/>
      </c>
      <c r="C34" s="2">
        <f>IF(EVALUADOR!Y34="","",EVALUADOR!F34)</f>
        <v/>
      </c>
      <c r="D34" s="2">
        <f>IF(EVALUADOR!Y34="","",EVALUADOR!G34)</f>
        <v/>
      </c>
      <c r="E34" s="6">
        <f>IF(EVALUADOR!Y34="","",EVALUADOR!H34)</f>
        <v/>
      </c>
      <c r="F34" s="7">
        <f>IF(EVALUADOR!Y34="","",EVALUADOR!S34)</f>
        <v/>
      </c>
      <c r="G34" s="7">
        <f>IF(EVALUADOR!Y34="","",EVALUADOR!V34)</f>
        <v/>
      </c>
      <c r="H34" s="2">
        <f>IF(EVALUADOR!Y34="","",EVALUADOR!W34)</f>
        <v/>
      </c>
      <c r="I34" s="2">
        <f>IF(EVALUADOR!Y34="","",EVALUADOR!X34)</f>
        <v/>
      </c>
      <c r="J34" s="2">
        <f>IF(EVALUADOR!Y34="","",EVALUADOR!Y34)</f>
        <v/>
      </c>
      <c r="K34" s="2">
        <f>IF(OR(J34="ALERTA FUERTE",J34="ALERTA MEDIA"),"PENDIENTE","-")</f>
        <v/>
      </c>
      <c r="L34" s="13">
        <f>IF(MOTOR!T34="","",MOTOR!O34)</f>
        <v/>
      </c>
      <c r="M34" s="13">
        <f>IF(MOTOR!T34="","",MOTOR!Q34)</f>
        <v/>
      </c>
      <c r="N34" s="13">
        <f>IF(MOTOR!T34="","",MOTOR!R34)</f>
        <v/>
      </c>
      <c r="O34" s="13">
        <f>IF(MOTOR!T34="","",MOTOR!S34)</f>
        <v/>
      </c>
    </row>
    <row r="35">
      <c r="A35" s="2">
        <f>IF(EVALUADOR!Y35="","",EVALUADOR!B35)</f>
        <v/>
      </c>
      <c r="B35" s="2">
        <f>IF(EVALUADOR!Y35="","",EVALUADOR!E35)</f>
        <v/>
      </c>
      <c r="C35" s="2">
        <f>IF(EVALUADOR!Y35="","",EVALUADOR!F35)</f>
        <v/>
      </c>
      <c r="D35" s="2">
        <f>IF(EVALUADOR!Y35="","",EVALUADOR!G35)</f>
        <v/>
      </c>
      <c r="E35" s="6">
        <f>IF(EVALUADOR!Y35="","",EVALUADOR!H35)</f>
        <v/>
      </c>
      <c r="F35" s="7">
        <f>IF(EVALUADOR!Y35="","",EVALUADOR!S35)</f>
        <v/>
      </c>
      <c r="G35" s="7">
        <f>IF(EVALUADOR!Y35="","",EVALUADOR!V35)</f>
        <v/>
      </c>
      <c r="H35" s="2">
        <f>IF(EVALUADOR!Y35="","",EVALUADOR!W35)</f>
        <v/>
      </c>
      <c r="I35" s="2">
        <f>IF(EVALUADOR!Y35="","",EVALUADOR!X35)</f>
        <v/>
      </c>
      <c r="J35" s="2">
        <f>IF(EVALUADOR!Y35="","",EVALUADOR!Y35)</f>
        <v/>
      </c>
      <c r="K35" s="2">
        <f>IF(OR(J35="ALERTA FUERTE",J35="ALERTA MEDIA"),"PENDIENTE","-")</f>
        <v/>
      </c>
      <c r="L35" s="13">
        <f>IF(MOTOR!T35="","",MOTOR!O35)</f>
        <v/>
      </c>
      <c r="M35" s="13">
        <f>IF(MOTOR!T35="","",MOTOR!Q35)</f>
        <v/>
      </c>
      <c r="N35" s="13">
        <f>IF(MOTOR!T35="","",MOTOR!R35)</f>
        <v/>
      </c>
      <c r="O35" s="13">
        <f>IF(MOTOR!T35="","",MOTOR!S35)</f>
        <v/>
      </c>
    </row>
    <row r="36">
      <c r="A36" s="2">
        <f>IF(EVALUADOR!Y36="","",EVALUADOR!B36)</f>
        <v/>
      </c>
      <c r="B36" s="2">
        <f>IF(EVALUADOR!Y36="","",EVALUADOR!E36)</f>
        <v/>
      </c>
      <c r="C36" s="2">
        <f>IF(EVALUADOR!Y36="","",EVALUADOR!F36)</f>
        <v/>
      </c>
      <c r="D36" s="2">
        <f>IF(EVALUADOR!Y36="","",EVALUADOR!G36)</f>
        <v/>
      </c>
      <c r="E36" s="6">
        <f>IF(EVALUADOR!Y36="","",EVALUADOR!H36)</f>
        <v/>
      </c>
      <c r="F36" s="7">
        <f>IF(EVALUADOR!Y36="","",EVALUADOR!S36)</f>
        <v/>
      </c>
      <c r="G36" s="7">
        <f>IF(EVALUADOR!Y36="","",EVALUADOR!V36)</f>
        <v/>
      </c>
      <c r="H36" s="2">
        <f>IF(EVALUADOR!Y36="","",EVALUADOR!W36)</f>
        <v/>
      </c>
      <c r="I36" s="2">
        <f>IF(EVALUADOR!Y36="","",EVALUADOR!X36)</f>
        <v/>
      </c>
      <c r="J36" s="2">
        <f>IF(EVALUADOR!Y36="","",EVALUADOR!Y36)</f>
        <v/>
      </c>
      <c r="K36" s="2">
        <f>IF(OR(J36="ALERTA FUERTE",J36="ALERTA MEDIA"),"PENDIENTE","-")</f>
        <v/>
      </c>
      <c r="L36" s="13">
        <f>IF(MOTOR!T36="","",MOTOR!O36)</f>
        <v/>
      </c>
      <c r="M36" s="13">
        <f>IF(MOTOR!T36="","",MOTOR!Q36)</f>
        <v/>
      </c>
      <c r="N36" s="13">
        <f>IF(MOTOR!T36="","",MOTOR!R36)</f>
        <v/>
      </c>
      <c r="O36" s="13">
        <f>IF(MOTOR!T36="","",MOTOR!S36)</f>
        <v/>
      </c>
    </row>
    <row r="37">
      <c r="A37" s="2">
        <f>IF(EVALUADOR!Y37="","",EVALUADOR!B37)</f>
        <v/>
      </c>
      <c r="B37" s="2">
        <f>IF(EVALUADOR!Y37="","",EVALUADOR!E37)</f>
        <v/>
      </c>
      <c r="C37" s="2">
        <f>IF(EVALUADOR!Y37="","",EVALUADOR!F37)</f>
        <v/>
      </c>
      <c r="D37" s="2">
        <f>IF(EVALUADOR!Y37="","",EVALUADOR!G37)</f>
        <v/>
      </c>
      <c r="E37" s="6">
        <f>IF(EVALUADOR!Y37="","",EVALUADOR!H37)</f>
        <v/>
      </c>
      <c r="F37" s="7">
        <f>IF(EVALUADOR!Y37="","",EVALUADOR!S37)</f>
        <v/>
      </c>
      <c r="G37" s="7">
        <f>IF(EVALUADOR!Y37="","",EVALUADOR!V37)</f>
        <v/>
      </c>
      <c r="H37" s="2">
        <f>IF(EVALUADOR!Y37="","",EVALUADOR!W37)</f>
        <v/>
      </c>
      <c r="I37" s="2">
        <f>IF(EVALUADOR!Y37="","",EVALUADOR!X37)</f>
        <v/>
      </c>
      <c r="J37" s="2">
        <f>IF(EVALUADOR!Y37="","",EVALUADOR!Y37)</f>
        <v/>
      </c>
      <c r="K37" s="2">
        <f>IF(OR(J37="ALERTA FUERTE",J37="ALERTA MEDIA"),"PENDIENTE","-")</f>
        <v/>
      </c>
      <c r="L37" s="13">
        <f>IF(MOTOR!T37="","",MOTOR!O37)</f>
        <v/>
      </c>
      <c r="M37" s="13">
        <f>IF(MOTOR!T37="","",MOTOR!Q37)</f>
        <v/>
      </c>
      <c r="N37" s="13">
        <f>IF(MOTOR!T37="","",MOTOR!R37)</f>
        <v/>
      </c>
      <c r="O37" s="13">
        <f>IF(MOTOR!T37="","",MOTOR!S37)</f>
        <v/>
      </c>
    </row>
    <row r="38">
      <c r="A38" s="2">
        <f>IF(EVALUADOR!Y38="","",EVALUADOR!B38)</f>
        <v/>
      </c>
      <c r="B38" s="2">
        <f>IF(EVALUADOR!Y38="","",EVALUADOR!E38)</f>
        <v/>
      </c>
      <c r="C38" s="2">
        <f>IF(EVALUADOR!Y38="","",EVALUADOR!F38)</f>
        <v/>
      </c>
      <c r="D38" s="2">
        <f>IF(EVALUADOR!Y38="","",EVALUADOR!G38)</f>
        <v/>
      </c>
      <c r="E38" s="6">
        <f>IF(EVALUADOR!Y38="","",EVALUADOR!H38)</f>
        <v/>
      </c>
      <c r="F38" s="7">
        <f>IF(EVALUADOR!Y38="","",EVALUADOR!S38)</f>
        <v/>
      </c>
      <c r="G38" s="7">
        <f>IF(EVALUADOR!Y38="","",EVALUADOR!V38)</f>
        <v/>
      </c>
      <c r="H38" s="2">
        <f>IF(EVALUADOR!Y38="","",EVALUADOR!W38)</f>
        <v/>
      </c>
      <c r="I38" s="2">
        <f>IF(EVALUADOR!Y38="","",EVALUADOR!X38)</f>
        <v/>
      </c>
      <c r="J38" s="2">
        <f>IF(EVALUADOR!Y38="","",EVALUADOR!Y38)</f>
        <v/>
      </c>
      <c r="K38" s="2">
        <f>IF(OR(J38="ALERTA FUERTE",J38="ALERTA MEDIA"),"PENDIENTE","-")</f>
        <v/>
      </c>
      <c r="L38" s="13">
        <f>IF(MOTOR!T38="","",MOTOR!O38)</f>
        <v/>
      </c>
      <c r="M38" s="13">
        <f>IF(MOTOR!T38="","",MOTOR!Q38)</f>
        <v/>
      </c>
      <c r="N38" s="13">
        <f>IF(MOTOR!T38="","",MOTOR!R38)</f>
        <v/>
      </c>
      <c r="O38" s="13">
        <f>IF(MOTOR!T38="","",MOTOR!S38)</f>
        <v/>
      </c>
    </row>
    <row r="39">
      <c r="A39" s="2">
        <f>IF(EVALUADOR!Y39="","",EVALUADOR!B39)</f>
        <v/>
      </c>
      <c r="B39" s="2">
        <f>IF(EVALUADOR!Y39="","",EVALUADOR!E39)</f>
        <v/>
      </c>
      <c r="C39" s="2">
        <f>IF(EVALUADOR!Y39="","",EVALUADOR!F39)</f>
        <v/>
      </c>
      <c r="D39" s="2">
        <f>IF(EVALUADOR!Y39="","",EVALUADOR!G39)</f>
        <v/>
      </c>
      <c r="E39" s="6">
        <f>IF(EVALUADOR!Y39="","",EVALUADOR!H39)</f>
        <v/>
      </c>
      <c r="F39" s="7">
        <f>IF(EVALUADOR!Y39="","",EVALUADOR!S39)</f>
        <v/>
      </c>
      <c r="G39" s="7">
        <f>IF(EVALUADOR!Y39="","",EVALUADOR!V39)</f>
        <v/>
      </c>
      <c r="H39" s="2">
        <f>IF(EVALUADOR!Y39="","",EVALUADOR!W39)</f>
        <v/>
      </c>
      <c r="I39" s="2">
        <f>IF(EVALUADOR!Y39="","",EVALUADOR!X39)</f>
        <v/>
      </c>
      <c r="J39" s="2">
        <f>IF(EVALUADOR!Y39="","",EVALUADOR!Y39)</f>
        <v/>
      </c>
      <c r="K39" s="2">
        <f>IF(OR(J39="ALERTA FUERTE",J39="ALERTA MEDIA"),"PENDIENTE","-")</f>
        <v/>
      </c>
      <c r="L39" s="13">
        <f>IF(MOTOR!T39="","",MOTOR!O39)</f>
        <v/>
      </c>
      <c r="M39" s="13">
        <f>IF(MOTOR!T39="","",MOTOR!Q39)</f>
        <v/>
      </c>
      <c r="N39" s="13">
        <f>IF(MOTOR!T39="","",MOTOR!R39)</f>
        <v/>
      </c>
      <c r="O39" s="13">
        <f>IF(MOTOR!T39="","",MOTOR!S39)</f>
        <v/>
      </c>
    </row>
    <row r="40">
      <c r="A40" s="2">
        <f>IF(EVALUADOR!Y40="","",EVALUADOR!B40)</f>
        <v/>
      </c>
      <c r="B40" s="2">
        <f>IF(EVALUADOR!Y40="","",EVALUADOR!E40)</f>
        <v/>
      </c>
      <c r="C40" s="2">
        <f>IF(EVALUADOR!Y40="","",EVALUADOR!F40)</f>
        <v/>
      </c>
      <c r="D40" s="2">
        <f>IF(EVALUADOR!Y40="","",EVALUADOR!G40)</f>
        <v/>
      </c>
      <c r="E40" s="6">
        <f>IF(EVALUADOR!Y40="","",EVALUADOR!H40)</f>
        <v/>
      </c>
      <c r="F40" s="7">
        <f>IF(EVALUADOR!Y40="","",EVALUADOR!S40)</f>
        <v/>
      </c>
      <c r="G40" s="7">
        <f>IF(EVALUADOR!Y40="","",EVALUADOR!V40)</f>
        <v/>
      </c>
      <c r="H40" s="2">
        <f>IF(EVALUADOR!Y40="","",EVALUADOR!W40)</f>
        <v/>
      </c>
      <c r="I40" s="2">
        <f>IF(EVALUADOR!Y40="","",EVALUADOR!X40)</f>
        <v/>
      </c>
      <c r="J40" s="2">
        <f>IF(EVALUADOR!Y40="","",EVALUADOR!Y40)</f>
        <v/>
      </c>
      <c r="K40" s="2">
        <f>IF(OR(J40="ALERTA FUERTE",J40="ALERTA MEDIA"),"PENDIENTE","-")</f>
        <v/>
      </c>
      <c r="L40" s="13">
        <f>IF(MOTOR!T40="","",MOTOR!O40)</f>
        <v/>
      </c>
      <c r="M40" s="13">
        <f>IF(MOTOR!T40="","",MOTOR!Q40)</f>
        <v/>
      </c>
      <c r="N40" s="13">
        <f>IF(MOTOR!T40="","",MOTOR!R40)</f>
        <v/>
      </c>
      <c r="O40" s="13">
        <f>IF(MOTOR!T40="","",MOTOR!S40)</f>
        <v/>
      </c>
    </row>
    <row r="41">
      <c r="A41" s="2">
        <f>IF(EVALUADOR!Y41="","",EVALUADOR!B41)</f>
        <v/>
      </c>
      <c r="B41" s="2">
        <f>IF(EVALUADOR!Y41="","",EVALUADOR!E41)</f>
        <v/>
      </c>
      <c r="C41" s="2">
        <f>IF(EVALUADOR!Y41="","",EVALUADOR!F41)</f>
        <v/>
      </c>
      <c r="D41" s="2">
        <f>IF(EVALUADOR!Y41="","",EVALUADOR!G41)</f>
        <v/>
      </c>
      <c r="E41" s="6">
        <f>IF(EVALUADOR!Y41="","",EVALUADOR!H41)</f>
        <v/>
      </c>
      <c r="F41" s="7">
        <f>IF(EVALUADOR!Y41="","",EVALUADOR!S41)</f>
        <v/>
      </c>
      <c r="G41" s="7">
        <f>IF(EVALUADOR!Y41="","",EVALUADOR!V41)</f>
        <v/>
      </c>
      <c r="H41" s="2">
        <f>IF(EVALUADOR!Y41="","",EVALUADOR!W41)</f>
        <v/>
      </c>
      <c r="I41" s="2">
        <f>IF(EVALUADOR!Y41="","",EVALUADOR!X41)</f>
        <v/>
      </c>
      <c r="J41" s="2">
        <f>IF(EVALUADOR!Y41="","",EVALUADOR!Y41)</f>
        <v/>
      </c>
      <c r="K41" s="2">
        <f>IF(OR(J41="ALERTA FUERTE",J41="ALERTA MEDIA"),"PENDIENTE","-")</f>
        <v/>
      </c>
      <c r="L41" s="13">
        <f>IF(MOTOR!T41="","",MOTOR!O41)</f>
        <v/>
      </c>
      <c r="M41" s="13">
        <f>IF(MOTOR!T41="","",MOTOR!Q41)</f>
        <v/>
      </c>
      <c r="N41" s="13">
        <f>IF(MOTOR!T41="","",MOTOR!R41)</f>
        <v/>
      </c>
      <c r="O41" s="13">
        <f>IF(MOTOR!T41="","",MOTOR!S41)</f>
        <v/>
      </c>
    </row>
    <row r="42">
      <c r="A42" s="2">
        <f>IF(EVALUADOR!Y42="","",EVALUADOR!B42)</f>
        <v/>
      </c>
      <c r="B42" s="2">
        <f>IF(EVALUADOR!Y42="","",EVALUADOR!E42)</f>
        <v/>
      </c>
      <c r="C42" s="2">
        <f>IF(EVALUADOR!Y42="","",EVALUADOR!F42)</f>
        <v/>
      </c>
      <c r="D42" s="2">
        <f>IF(EVALUADOR!Y42="","",EVALUADOR!G42)</f>
        <v/>
      </c>
      <c r="E42" s="6">
        <f>IF(EVALUADOR!Y42="","",EVALUADOR!H42)</f>
        <v/>
      </c>
      <c r="F42" s="7">
        <f>IF(EVALUADOR!Y42="","",EVALUADOR!S42)</f>
        <v/>
      </c>
      <c r="G42" s="7">
        <f>IF(EVALUADOR!Y42="","",EVALUADOR!V42)</f>
        <v/>
      </c>
      <c r="H42" s="2">
        <f>IF(EVALUADOR!Y42="","",EVALUADOR!W42)</f>
        <v/>
      </c>
      <c r="I42" s="2">
        <f>IF(EVALUADOR!Y42="","",EVALUADOR!X42)</f>
        <v/>
      </c>
      <c r="J42" s="2">
        <f>IF(EVALUADOR!Y42="","",EVALUADOR!Y42)</f>
        <v/>
      </c>
      <c r="K42" s="2">
        <f>IF(OR(J42="ALERTA FUERTE",J42="ALERTA MEDIA"),"PENDIENTE","-")</f>
        <v/>
      </c>
      <c r="L42" s="13">
        <f>IF(MOTOR!T42="","",MOTOR!O42)</f>
        <v/>
      </c>
      <c r="M42" s="13">
        <f>IF(MOTOR!T42="","",MOTOR!Q42)</f>
        <v/>
      </c>
      <c r="N42" s="13">
        <f>IF(MOTOR!T42="","",MOTOR!R42)</f>
        <v/>
      </c>
      <c r="O42" s="13">
        <f>IF(MOTOR!T42="","",MOTOR!S42)</f>
        <v/>
      </c>
    </row>
    <row r="43">
      <c r="A43" s="2">
        <f>IF(EVALUADOR!Y43="","",EVALUADOR!B43)</f>
        <v/>
      </c>
      <c r="B43" s="2">
        <f>IF(EVALUADOR!Y43="","",EVALUADOR!E43)</f>
        <v/>
      </c>
      <c r="C43" s="2">
        <f>IF(EVALUADOR!Y43="","",EVALUADOR!F43)</f>
        <v/>
      </c>
      <c r="D43" s="2">
        <f>IF(EVALUADOR!Y43="","",EVALUADOR!G43)</f>
        <v/>
      </c>
      <c r="E43" s="6">
        <f>IF(EVALUADOR!Y43="","",EVALUADOR!H43)</f>
        <v/>
      </c>
      <c r="F43" s="7">
        <f>IF(EVALUADOR!Y43="","",EVALUADOR!S43)</f>
        <v/>
      </c>
      <c r="G43" s="7">
        <f>IF(EVALUADOR!Y43="","",EVALUADOR!V43)</f>
        <v/>
      </c>
      <c r="H43" s="2">
        <f>IF(EVALUADOR!Y43="","",EVALUADOR!W43)</f>
        <v/>
      </c>
      <c r="I43" s="2">
        <f>IF(EVALUADOR!Y43="","",EVALUADOR!X43)</f>
        <v/>
      </c>
      <c r="J43" s="2">
        <f>IF(EVALUADOR!Y43="","",EVALUADOR!Y43)</f>
        <v/>
      </c>
      <c r="K43" s="2">
        <f>IF(OR(J43="ALERTA FUERTE",J43="ALERTA MEDIA"),"PENDIENTE","-")</f>
        <v/>
      </c>
      <c r="L43" s="13">
        <f>IF(MOTOR!T43="","",MOTOR!O43)</f>
        <v/>
      </c>
      <c r="M43" s="13">
        <f>IF(MOTOR!T43="","",MOTOR!Q43)</f>
        <v/>
      </c>
      <c r="N43" s="13">
        <f>IF(MOTOR!T43="","",MOTOR!R43)</f>
        <v/>
      </c>
      <c r="O43" s="13">
        <f>IF(MOTOR!T43="","",MOTOR!S43)</f>
        <v/>
      </c>
    </row>
    <row r="44">
      <c r="A44" s="2">
        <f>IF(EVALUADOR!Y44="","",EVALUADOR!B44)</f>
        <v/>
      </c>
      <c r="B44" s="2">
        <f>IF(EVALUADOR!Y44="","",EVALUADOR!E44)</f>
        <v/>
      </c>
      <c r="C44" s="2">
        <f>IF(EVALUADOR!Y44="","",EVALUADOR!F44)</f>
        <v/>
      </c>
      <c r="D44" s="2">
        <f>IF(EVALUADOR!Y44="","",EVALUADOR!G44)</f>
        <v/>
      </c>
      <c r="E44" s="6">
        <f>IF(EVALUADOR!Y44="","",EVALUADOR!H44)</f>
        <v/>
      </c>
      <c r="F44" s="7">
        <f>IF(EVALUADOR!Y44="","",EVALUADOR!S44)</f>
        <v/>
      </c>
      <c r="G44" s="7">
        <f>IF(EVALUADOR!Y44="","",EVALUADOR!V44)</f>
        <v/>
      </c>
      <c r="H44" s="2">
        <f>IF(EVALUADOR!Y44="","",EVALUADOR!W44)</f>
        <v/>
      </c>
      <c r="I44" s="2">
        <f>IF(EVALUADOR!Y44="","",EVALUADOR!X44)</f>
        <v/>
      </c>
      <c r="J44" s="2">
        <f>IF(EVALUADOR!Y44="","",EVALUADOR!Y44)</f>
        <v/>
      </c>
      <c r="K44" s="2">
        <f>IF(OR(J44="ALERTA FUERTE",J44="ALERTA MEDIA"),"PENDIENTE","-")</f>
        <v/>
      </c>
      <c r="L44" s="13">
        <f>IF(MOTOR!T44="","",MOTOR!O44)</f>
        <v/>
      </c>
      <c r="M44" s="13">
        <f>IF(MOTOR!T44="","",MOTOR!Q44)</f>
        <v/>
      </c>
      <c r="N44" s="13">
        <f>IF(MOTOR!T44="","",MOTOR!R44)</f>
        <v/>
      </c>
      <c r="O44" s="13">
        <f>IF(MOTOR!T44="","",MOTOR!S44)</f>
        <v/>
      </c>
    </row>
    <row r="45">
      <c r="A45" s="2">
        <f>IF(EVALUADOR!Y45="","",EVALUADOR!B45)</f>
        <v/>
      </c>
      <c r="B45" s="2">
        <f>IF(EVALUADOR!Y45="","",EVALUADOR!E45)</f>
        <v/>
      </c>
      <c r="C45" s="2">
        <f>IF(EVALUADOR!Y45="","",EVALUADOR!F45)</f>
        <v/>
      </c>
      <c r="D45" s="2">
        <f>IF(EVALUADOR!Y45="","",EVALUADOR!G45)</f>
        <v/>
      </c>
      <c r="E45" s="6">
        <f>IF(EVALUADOR!Y45="","",EVALUADOR!H45)</f>
        <v/>
      </c>
      <c r="F45" s="7">
        <f>IF(EVALUADOR!Y45="","",EVALUADOR!S45)</f>
        <v/>
      </c>
      <c r="G45" s="7">
        <f>IF(EVALUADOR!Y45="","",EVALUADOR!V45)</f>
        <v/>
      </c>
      <c r="H45" s="2">
        <f>IF(EVALUADOR!Y45="","",EVALUADOR!W45)</f>
        <v/>
      </c>
      <c r="I45" s="2">
        <f>IF(EVALUADOR!Y45="","",EVALUADOR!X45)</f>
        <v/>
      </c>
      <c r="J45" s="2">
        <f>IF(EVALUADOR!Y45="","",EVALUADOR!Y45)</f>
        <v/>
      </c>
      <c r="K45" s="2">
        <f>IF(OR(J45="ALERTA FUERTE",J45="ALERTA MEDIA"),"PENDIENTE","-")</f>
        <v/>
      </c>
      <c r="L45" s="13">
        <f>IF(MOTOR!T45="","",MOTOR!O45)</f>
        <v/>
      </c>
      <c r="M45" s="13">
        <f>IF(MOTOR!T45="","",MOTOR!Q45)</f>
        <v/>
      </c>
      <c r="N45" s="13">
        <f>IF(MOTOR!T45="","",MOTOR!R45)</f>
        <v/>
      </c>
      <c r="O45" s="13">
        <f>IF(MOTOR!T45="","",MOTOR!S45)</f>
        <v/>
      </c>
    </row>
    <row r="46">
      <c r="A46" s="2">
        <f>IF(EVALUADOR!Y46="","",EVALUADOR!B46)</f>
        <v/>
      </c>
      <c r="B46" s="2">
        <f>IF(EVALUADOR!Y46="","",EVALUADOR!E46)</f>
        <v/>
      </c>
      <c r="C46" s="2">
        <f>IF(EVALUADOR!Y46="","",EVALUADOR!F46)</f>
        <v/>
      </c>
      <c r="D46" s="2">
        <f>IF(EVALUADOR!Y46="","",EVALUADOR!G46)</f>
        <v/>
      </c>
      <c r="E46" s="6">
        <f>IF(EVALUADOR!Y46="","",EVALUADOR!H46)</f>
        <v/>
      </c>
      <c r="F46" s="7">
        <f>IF(EVALUADOR!Y46="","",EVALUADOR!S46)</f>
        <v/>
      </c>
      <c r="G46" s="7">
        <f>IF(EVALUADOR!Y46="","",EVALUADOR!V46)</f>
        <v/>
      </c>
      <c r="H46" s="2">
        <f>IF(EVALUADOR!Y46="","",EVALUADOR!W46)</f>
        <v/>
      </c>
      <c r="I46" s="2">
        <f>IF(EVALUADOR!Y46="","",EVALUADOR!X46)</f>
        <v/>
      </c>
      <c r="J46" s="2">
        <f>IF(EVALUADOR!Y46="","",EVALUADOR!Y46)</f>
        <v/>
      </c>
      <c r="K46" s="2">
        <f>IF(OR(J46="ALERTA FUERTE",J46="ALERTA MEDIA"),"PENDIENTE","-")</f>
        <v/>
      </c>
      <c r="L46" s="13">
        <f>IF(MOTOR!T46="","",MOTOR!O46)</f>
        <v/>
      </c>
      <c r="M46" s="13">
        <f>IF(MOTOR!T46="","",MOTOR!Q46)</f>
        <v/>
      </c>
      <c r="N46" s="13">
        <f>IF(MOTOR!T46="","",MOTOR!R46)</f>
        <v/>
      </c>
      <c r="O46" s="13">
        <f>IF(MOTOR!T46="","",MOTOR!S46)</f>
        <v/>
      </c>
    </row>
    <row r="47">
      <c r="A47" s="2">
        <f>IF(EVALUADOR!Y47="","",EVALUADOR!B47)</f>
        <v/>
      </c>
      <c r="B47" s="2">
        <f>IF(EVALUADOR!Y47="","",EVALUADOR!E47)</f>
        <v/>
      </c>
      <c r="C47" s="2">
        <f>IF(EVALUADOR!Y47="","",EVALUADOR!F47)</f>
        <v/>
      </c>
      <c r="D47" s="2">
        <f>IF(EVALUADOR!Y47="","",EVALUADOR!G47)</f>
        <v/>
      </c>
      <c r="E47" s="6">
        <f>IF(EVALUADOR!Y47="","",EVALUADOR!H47)</f>
        <v/>
      </c>
      <c r="F47" s="7">
        <f>IF(EVALUADOR!Y47="","",EVALUADOR!S47)</f>
        <v/>
      </c>
      <c r="G47" s="7">
        <f>IF(EVALUADOR!Y47="","",EVALUADOR!V47)</f>
        <v/>
      </c>
      <c r="H47" s="2">
        <f>IF(EVALUADOR!Y47="","",EVALUADOR!W47)</f>
        <v/>
      </c>
      <c r="I47" s="2">
        <f>IF(EVALUADOR!Y47="","",EVALUADOR!X47)</f>
        <v/>
      </c>
      <c r="J47" s="2">
        <f>IF(EVALUADOR!Y47="","",EVALUADOR!Y47)</f>
        <v/>
      </c>
      <c r="K47" s="2">
        <f>IF(OR(J47="ALERTA FUERTE",J47="ALERTA MEDIA"),"PENDIENTE","-")</f>
        <v/>
      </c>
      <c r="L47" s="13">
        <f>IF(MOTOR!T47="","",MOTOR!O47)</f>
        <v/>
      </c>
      <c r="M47" s="13">
        <f>IF(MOTOR!T47="","",MOTOR!Q47)</f>
        <v/>
      </c>
      <c r="N47" s="13">
        <f>IF(MOTOR!T47="","",MOTOR!R47)</f>
        <v/>
      </c>
      <c r="O47" s="13">
        <f>IF(MOTOR!T47="","",MOTOR!S47)</f>
        <v/>
      </c>
    </row>
    <row r="48">
      <c r="A48" s="2">
        <f>IF(EVALUADOR!Y48="","",EVALUADOR!B48)</f>
        <v/>
      </c>
      <c r="B48" s="2">
        <f>IF(EVALUADOR!Y48="","",EVALUADOR!E48)</f>
        <v/>
      </c>
      <c r="C48" s="2">
        <f>IF(EVALUADOR!Y48="","",EVALUADOR!F48)</f>
        <v/>
      </c>
      <c r="D48" s="2">
        <f>IF(EVALUADOR!Y48="","",EVALUADOR!G48)</f>
        <v/>
      </c>
      <c r="E48" s="6">
        <f>IF(EVALUADOR!Y48="","",EVALUADOR!H48)</f>
        <v/>
      </c>
      <c r="F48" s="7">
        <f>IF(EVALUADOR!Y48="","",EVALUADOR!S48)</f>
        <v/>
      </c>
      <c r="G48" s="7">
        <f>IF(EVALUADOR!Y48="","",EVALUADOR!V48)</f>
        <v/>
      </c>
      <c r="H48" s="2">
        <f>IF(EVALUADOR!Y48="","",EVALUADOR!W48)</f>
        <v/>
      </c>
      <c r="I48" s="2">
        <f>IF(EVALUADOR!Y48="","",EVALUADOR!X48)</f>
        <v/>
      </c>
      <c r="J48" s="2">
        <f>IF(EVALUADOR!Y48="","",EVALUADOR!Y48)</f>
        <v/>
      </c>
      <c r="K48" s="2">
        <f>IF(OR(J48="ALERTA FUERTE",J48="ALERTA MEDIA"),"PENDIENTE","-")</f>
        <v/>
      </c>
      <c r="L48" s="13">
        <f>IF(MOTOR!T48="","",MOTOR!O48)</f>
        <v/>
      </c>
      <c r="M48" s="13">
        <f>IF(MOTOR!T48="","",MOTOR!Q48)</f>
        <v/>
      </c>
      <c r="N48" s="13">
        <f>IF(MOTOR!T48="","",MOTOR!R48)</f>
        <v/>
      </c>
      <c r="O48" s="13">
        <f>IF(MOTOR!T48="","",MOTOR!S48)</f>
        <v/>
      </c>
    </row>
    <row r="49">
      <c r="A49" s="2">
        <f>IF(EVALUADOR!Y49="","",EVALUADOR!B49)</f>
        <v/>
      </c>
      <c r="B49" s="2">
        <f>IF(EVALUADOR!Y49="","",EVALUADOR!E49)</f>
        <v/>
      </c>
      <c r="C49" s="2">
        <f>IF(EVALUADOR!Y49="","",EVALUADOR!F49)</f>
        <v/>
      </c>
      <c r="D49" s="2">
        <f>IF(EVALUADOR!Y49="","",EVALUADOR!G49)</f>
        <v/>
      </c>
      <c r="E49" s="6">
        <f>IF(EVALUADOR!Y49="","",EVALUADOR!H49)</f>
        <v/>
      </c>
      <c r="F49" s="7">
        <f>IF(EVALUADOR!Y49="","",EVALUADOR!S49)</f>
        <v/>
      </c>
      <c r="G49" s="7">
        <f>IF(EVALUADOR!Y49="","",EVALUADOR!V49)</f>
        <v/>
      </c>
      <c r="H49" s="2">
        <f>IF(EVALUADOR!Y49="","",EVALUADOR!W49)</f>
        <v/>
      </c>
      <c r="I49" s="2">
        <f>IF(EVALUADOR!Y49="","",EVALUADOR!X49)</f>
        <v/>
      </c>
      <c r="J49" s="2">
        <f>IF(EVALUADOR!Y49="","",EVALUADOR!Y49)</f>
        <v/>
      </c>
      <c r="K49" s="2">
        <f>IF(OR(J49="ALERTA FUERTE",J49="ALERTA MEDIA"),"PENDIENTE","-")</f>
        <v/>
      </c>
      <c r="L49" s="13">
        <f>IF(MOTOR!T49="","",MOTOR!O49)</f>
        <v/>
      </c>
      <c r="M49" s="13">
        <f>IF(MOTOR!T49="","",MOTOR!Q49)</f>
        <v/>
      </c>
      <c r="N49" s="13">
        <f>IF(MOTOR!T49="","",MOTOR!R49)</f>
        <v/>
      </c>
      <c r="O49" s="13">
        <f>IF(MOTOR!T49="","",MOTOR!S49)</f>
        <v/>
      </c>
    </row>
    <row r="50">
      <c r="A50" s="2">
        <f>IF(EVALUADOR!Y50="","",EVALUADOR!B50)</f>
        <v/>
      </c>
      <c r="B50" s="2">
        <f>IF(EVALUADOR!Y50="","",EVALUADOR!E50)</f>
        <v/>
      </c>
      <c r="C50" s="2">
        <f>IF(EVALUADOR!Y50="","",EVALUADOR!F50)</f>
        <v/>
      </c>
      <c r="D50" s="2">
        <f>IF(EVALUADOR!Y50="","",EVALUADOR!G50)</f>
        <v/>
      </c>
      <c r="E50" s="6">
        <f>IF(EVALUADOR!Y50="","",EVALUADOR!H50)</f>
        <v/>
      </c>
      <c r="F50" s="7">
        <f>IF(EVALUADOR!Y50="","",EVALUADOR!S50)</f>
        <v/>
      </c>
      <c r="G50" s="7">
        <f>IF(EVALUADOR!Y50="","",EVALUADOR!V50)</f>
        <v/>
      </c>
      <c r="H50" s="2">
        <f>IF(EVALUADOR!Y50="","",EVALUADOR!W50)</f>
        <v/>
      </c>
      <c r="I50" s="2">
        <f>IF(EVALUADOR!Y50="","",EVALUADOR!X50)</f>
        <v/>
      </c>
      <c r="J50" s="2">
        <f>IF(EVALUADOR!Y50="","",EVALUADOR!Y50)</f>
        <v/>
      </c>
      <c r="K50" s="2">
        <f>IF(OR(J50="ALERTA FUERTE",J50="ALERTA MEDIA"),"PENDIENTE","-")</f>
        <v/>
      </c>
      <c r="L50" s="13">
        <f>IF(MOTOR!T50="","",MOTOR!O50)</f>
        <v/>
      </c>
      <c r="M50" s="13">
        <f>IF(MOTOR!T50="","",MOTOR!Q50)</f>
        <v/>
      </c>
      <c r="N50" s="13">
        <f>IF(MOTOR!T50="","",MOTOR!R50)</f>
        <v/>
      </c>
      <c r="O50" s="13">
        <f>IF(MOTOR!T50="","",MOTOR!S50)</f>
        <v/>
      </c>
    </row>
    <row r="51">
      <c r="A51" s="2">
        <f>IF(EVALUADOR!Y51="","",EVALUADOR!B51)</f>
        <v/>
      </c>
      <c r="B51" s="2">
        <f>IF(EVALUADOR!Y51="","",EVALUADOR!E51)</f>
        <v/>
      </c>
      <c r="C51" s="2">
        <f>IF(EVALUADOR!Y51="","",EVALUADOR!F51)</f>
        <v/>
      </c>
      <c r="D51" s="2">
        <f>IF(EVALUADOR!Y51="","",EVALUADOR!G51)</f>
        <v/>
      </c>
      <c r="E51" s="6">
        <f>IF(EVALUADOR!Y51="","",EVALUADOR!H51)</f>
        <v/>
      </c>
      <c r="F51" s="7">
        <f>IF(EVALUADOR!Y51="","",EVALUADOR!S51)</f>
        <v/>
      </c>
      <c r="G51" s="7">
        <f>IF(EVALUADOR!Y51="","",EVALUADOR!V51)</f>
        <v/>
      </c>
      <c r="H51" s="2">
        <f>IF(EVALUADOR!Y51="","",EVALUADOR!W51)</f>
        <v/>
      </c>
      <c r="I51" s="2">
        <f>IF(EVALUADOR!Y51="","",EVALUADOR!X51)</f>
        <v/>
      </c>
      <c r="J51" s="2">
        <f>IF(EVALUADOR!Y51="","",EVALUADOR!Y51)</f>
        <v/>
      </c>
      <c r="K51" s="2">
        <f>IF(OR(J51="ALERTA FUERTE",J51="ALERTA MEDIA"),"PENDIENTE","-")</f>
        <v/>
      </c>
      <c r="L51" s="13">
        <f>IF(MOTOR!T51="","",MOTOR!O51)</f>
        <v/>
      </c>
      <c r="M51" s="13">
        <f>IF(MOTOR!T51="","",MOTOR!Q51)</f>
        <v/>
      </c>
      <c r="N51" s="13">
        <f>IF(MOTOR!T51="","",MOTOR!R51)</f>
        <v/>
      </c>
      <c r="O51" s="13">
        <f>IF(MOTOR!T51="","",MOTOR!S51)</f>
        <v/>
      </c>
    </row>
    <row r="52">
      <c r="A52" s="2">
        <f>IF(EVALUADOR!Y52="","",EVALUADOR!B52)</f>
        <v/>
      </c>
      <c r="B52" s="2">
        <f>IF(EVALUADOR!Y52="","",EVALUADOR!E52)</f>
        <v/>
      </c>
      <c r="C52" s="2">
        <f>IF(EVALUADOR!Y52="","",EVALUADOR!F52)</f>
        <v/>
      </c>
      <c r="D52" s="2">
        <f>IF(EVALUADOR!Y52="","",EVALUADOR!G52)</f>
        <v/>
      </c>
      <c r="E52" s="6">
        <f>IF(EVALUADOR!Y52="","",EVALUADOR!H52)</f>
        <v/>
      </c>
      <c r="F52" s="7">
        <f>IF(EVALUADOR!Y52="","",EVALUADOR!S52)</f>
        <v/>
      </c>
      <c r="G52" s="7">
        <f>IF(EVALUADOR!Y52="","",EVALUADOR!V52)</f>
        <v/>
      </c>
      <c r="H52" s="2">
        <f>IF(EVALUADOR!Y52="","",EVALUADOR!W52)</f>
        <v/>
      </c>
      <c r="I52" s="2">
        <f>IF(EVALUADOR!Y52="","",EVALUADOR!X52)</f>
        <v/>
      </c>
      <c r="J52" s="2">
        <f>IF(EVALUADOR!Y52="","",EVALUADOR!Y52)</f>
        <v/>
      </c>
      <c r="K52" s="2">
        <f>IF(OR(J52="ALERTA FUERTE",J52="ALERTA MEDIA"),"PENDIENTE","-")</f>
        <v/>
      </c>
      <c r="L52" s="13">
        <f>IF(MOTOR!T52="","",MOTOR!O52)</f>
        <v/>
      </c>
      <c r="M52" s="13">
        <f>IF(MOTOR!T52="","",MOTOR!Q52)</f>
        <v/>
      </c>
      <c r="N52" s="13">
        <f>IF(MOTOR!T52="","",MOTOR!R52)</f>
        <v/>
      </c>
      <c r="O52" s="13">
        <f>IF(MOTOR!T52="","",MOTOR!S52)</f>
        <v/>
      </c>
    </row>
    <row r="53">
      <c r="A53" s="2">
        <f>IF(EVALUADOR!Y53="","",EVALUADOR!B53)</f>
        <v/>
      </c>
      <c r="B53" s="2">
        <f>IF(EVALUADOR!Y53="","",EVALUADOR!E53)</f>
        <v/>
      </c>
      <c r="C53" s="2">
        <f>IF(EVALUADOR!Y53="","",EVALUADOR!F53)</f>
        <v/>
      </c>
      <c r="D53" s="2">
        <f>IF(EVALUADOR!Y53="","",EVALUADOR!G53)</f>
        <v/>
      </c>
      <c r="E53" s="6">
        <f>IF(EVALUADOR!Y53="","",EVALUADOR!H53)</f>
        <v/>
      </c>
      <c r="F53" s="7">
        <f>IF(EVALUADOR!Y53="","",EVALUADOR!S53)</f>
        <v/>
      </c>
      <c r="G53" s="7">
        <f>IF(EVALUADOR!Y53="","",EVALUADOR!V53)</f>
        <v/>
      </c>
      <c r="H53" s="2">
        <f>IF(EVALUADOR!Y53="","",EVALUADOR!W53)</f>
        <v/>
      </c>
      <c r="I53" s="2">
        <f>IF(EVALUADOR!Y53="","",EVALUADOR!X53)</f>
        <v/>
      </c>
      <c r="J53" s="2">
        <f>IF(EVALUADOR!Y53="","",EVALUADOR!Y53)</f>
        <v/>
      </c>
      <c r="K53" s="2">
        <f>IF(OR(J53="ALERTA FUERTE",J53="ALERTA MEDIA"),"PENDIENTE","-")</f>
        <v/>
      </c>
      <c r="L53" s="13">
        <f>IF(MOTOR!T53="","",MOTOR!O53)</f>
        <v/>
      </c>
      <c r="M53" s="13">
        <f>IF(MOTOR!T53="","",MOTOR!Q53)</f>
        <v/>
      </c>
      <c r="N53" s="13">
        <f>IF(MOTOR!T53="","",MOTOR!R53)</f>
        <v/>
      </c>
      <c r="O53" s="13">
        <f>IF(MOTOR!T53="","",MOTOR!S53)</f>
        <v/>
      </c>
    </row>
    <row r="54">
      <c r="A54" s="2">
        <f>IF(EVALUADOR!Y54="","",EVALUADOR!B54)</f>
        <v/>
      </c>
      <c r="B54" s="2">
        <f>IF(EVALUADOR!Y54="","",EVALUADOR!E54)</f>
        <v/>
      </c>
      <c r="C54" s="2">
        <f>IF(EVALUADOR!Y54="","",EVALUADOR!F54)</f>
        <v/>
      </c>
      <c r="D54" s="2">
        <f>IF(EVALUADOR!Y54="","",EVALUADOR!G54)</f>
        <v/>
      </c>
      <c r="E54" s="6">
        <f>IF(EVALUADOR!Y54="","",EVALUADOR!H54)</f>
        <v/>
      </c>
      <c r="F54" s="7">
        <f>IF(EVALUADOR!Y54="","",EVALUADOR!S54)</f>
        <v/>
      </c>
      <c r="G54" s="7">
        <f>IF(EVALUADOR!Y54="","",EVALUADOR!V54)</f>
        <v/>
      </c>
      <c r="H54" s="2">
        <f>IF(EVALUADOR!Y54="","",EVALUADOR!W54)</f>
        <v/>
      </c>
      <c r="I54" s="2">
        <f>IF(EVALUADOR!Y54="","",EVALUADOR!X54)</f>
        <v/>
      </c>
      <c r="J54" s="2">
        <f>IF(EVALUADOR!Y54="","",EVALUADOR!Y54)</f>
        <v/>
      </c>
      <c r="K54" s="2">
        <f>IF(OR(J54="ALERTA FUERTE",J54="ALERTA MEDIA"),"PENDIENTE","-")</f>
        <v/>
      </c>
      <c r="L54" s="13">
        <f>IF(MOTOR!T54="","",MOTOR!O54)</f>
        <v/>
      </c>
      <c r="M54" s="13">
        <f>IF(MOTOR!T54="","",MOTOR!Q54)</f>
        <v/>
      </c>
      <c r="N54" s="13">
        <f>IF(MOTOR!T54="","",MOTOR!R54)</f>
        <v/>
      </c>
      <c r="O54" s="13">
        <f>IF(MOTOR!T54="","",MOTOR!S54)</f>
        <v/>
      </c>
    </row>
    <row r="55">
      <c r="A55" s="2">
        <f>IF(EVALUADOR!Y55="","",EVALUADOR!B55)</f>
        <v/>
      </c>
      <c r="B55" s="2">
        <f>IF(EVALUADOR!Y55="","",EVALUADOR!E55)</f>
        <v/>
      </c>
      <c r="C55" s="2">
        <f>IF(EVALUADOR!Y55="","",EVALUADOR!F55)</f>
        <v/>
      </c>
      <c r="D55" s="2">
        <f>IF(EVALUADOR!Y55="","",EVALUADOR!G55)</f>
        <v/>
      </c>
      <c r="E55" s="6">
        <f>IF(EVALUADOR!Y55="","",EVALUADOR!H55)</f>
        <v/>
      </c>
      <c r="F55" s="7">
        <f>IF(EVALUADOR!Y55="","",EVALUADOR!S55)</f>
        <v/>
      </c>
      <c r="G55" s="7">
        <f>IF(EVALUADOR!Y55="","",EVALUADOR!V55)</f>
        <v/>
      </c>
      <c r="H55" s="2">
        <f>IF(EVALUADOR!Y55="","",EVALUADOR!W55)</f>
        <v/>
      </c>
      <c r="I55" s="2">
        <f>IF(EVALUADOR!Y55="","",EVALUADOR!X55)</f>
        <v/>
      </c>
      <c r="J55" s="2">
        <f>IF(EVALUADOR!Y55="","",EVALUADOR!Y55)</f>
        <v/>
      </c>
      <c r="K55" s="2">
        <f>IF(OR(J55="ALERTA FUERTE",J55="ALERTA MEDIA"),"PENDIENTE","-")</f>
        <v/>
      </c>
      <c r="L55" s="13">
        <f>IF(MOTOR!T55="","",MOTOR!O55)</f>
        <v/>
      </c>
      <c r="M55" s="13">
        <f>IF(MOTOR!T55="","",MOTOR!Q55)</f>
        <v/>
      </c>
      <c r="N55" s="13">
        <f>IF(MOTOR!T55="","",MOTOR!R55)</f>
        <v/>
      </c>
      <c r="O55" s="13">
        <f>IF(MOTOR!T55="","",MOTOR!S55)</f>
        <v/>
      </c>
    </row>
    <row r="56">
      <c r="A56" s="2">
        <f>IF(EVALUADOR!Y56="","",EVALUADOR!B56)</f>
        <v/>
      </c>
      <c r="B56" s="2">
        <f>IF(EVALUADOR!Y56="","",EVALUADOR!E56)</f>
        <v/>
      </c>
      <c r="C56" s="2">
        <f>IF(EVALUADOR!Y56="","",EVALUADOR!F56)</f>
        <v/>
      </c>
      <c r="D56" s="2">
        <f>IF(EVALUADOR!Y56="","",EVALUADOR!G56)</f>
        <v/>
      </c>
      <c r="E56" s="6">
        <f>IF(EVALUADOR!Y56="","",EVALUADOR!H56)</f>
        <v/>
      </c>
      <c r="F56" s="7">
        <f>IF(EVALUADOR!Y56="","",EVALUADOR!S56)</f>
        <v/>
      </c>
      <c r="G56" s="7">
        <f>IF(EVALUADOR!Y56="","",EVALUADOR!V56)</f>
        <v/>
      </c>
      <c r="H56" s="2">
        <f>IF(EVALUADOR!Y56="","",EVALUADOR!W56)</f>
        <v/>
      </c>
      <c r="I56" s="2">
        <f>IF(EVALUADOR!Y56="","",EVALUADOR!X56)</f>
        <v/>
      </c>
      <c r="J56" s="2">
        <f>IF(EVALUADOR!Y56="","",EVALUADOR!Y56)</f>
        <v/>
      </c>
      <c r="K56" s="2">
        <f>IF(OR(J56="ALERTA FUERTE",J56="ALERTA MEDIA"),"PENDIENTE","-")</f>
        <v/>
      </c>
      <c r="L56" s="13">
        <f>IF(MOTOR!T56="","",MOTOR!O56)</f>
        <v/>
      </c>
      <c r="M56" s="13">
        <f>IF(MOTOR!T56="","",MOTOR!Q56)</f>
        <v/>
      </c>
      <c r="N56" s="13">
        <f>IF(MOTOR!T56="","",MOTOR!R56)</f>
        <v/>
      </c>
      <c r="O56" s="13">
        <f>IF(MOTOR!T56="","",MOTOR!S56)</f>
        <v/>
      </c>
    </row>
    <row r="57">
      <c r="A57" s="2">
        <f>IF(EVALUADOR!Y57="","",EVALUADOR!B57)</f>
        <v/>
      </c>
      <c r="B57" s="2">
        <f>IF(EVALUADOR!Y57="","",EVALUADOR!E57)</f>
        <v/>
      </c>
      <c r="C57" s="2">
        <f>IF(EVALUADOR!Y57="","",EVALUADOR!F57)</f>
        <v/>
      </c>
      <c r="D57" s="2">
        <f>IF(EVALUADOR!Y57="","",EVALUADOR!G57)</f>
        <v/>
      </c>
      <c r="E57" s="6">
        <f>IF(EVALUADOR!Y57="","",EVALUADOR!H57)</f>
        <v/>
      </c>
      <c r="F57" s="7">
        <f>IF(EVALUADOR!Y57="","",EVALUADOR!S57)</f>
        <v/>
      </c>
      <c r="G57" s="7">
        <f>IF(EVALUADOR!Y57="","",EVALUADOR!V57)</f>
        <v/>
      </c>
      <c r="H57" s="2">
        <f>IF(EVALUADOR!Y57="","",EVALUADOR!W57)</f>
        <v/>
      </c>
      <c r="I57" s="2">
        <f>IF(EVALUADOR!Y57="","",EVALUADOR!X57)</f>
        <v/>
      </c>
      <c r="J57" s="2">
        <f>IF(EVALUADOR!Y57="","",EVALUADOR!Y57)</f>
        <v/>
      </c>
      <c r="K57" s="2">
        <f>IF(OR(J57="ALERTA FUERTE",J57="ALERTA MEDIA"),"PENDIENTE","-")</f>
        <v/>
      </c>
      <c r="L57" s="13">
        <f>IF(MOTOR!T57="","",MOTOR!O57)</f>
        <v/>
      </c>
      <c r="M57" s="13">
        <f>IF(MOTOR!T57="","",MOTOR!Q57)</f>
        <v/>
      </c>
      <c r="N57" s="13">
        <f>IF(MOTOR!T57="","",MOTOR!R57)</f>
        <v/>
      </c>
      <c r="O57" s="13">
        <f>IF(MOTOR!T57="","",MOTOR!S57)</f>
        <v/>
      </c>
    </row>
    <row r="58">
      <c r="A58" s="2">
        <f>IF(EVALUADOR!Y58="","",EVALUADOR!B58)</f>
        <v/>
      </c>
      <c r="B58" s="2">
        <f>IF(EVALUADOR!Y58="","",EVALUADOR!E58)</f>
        <v/>
      </c>
      <c r="C58" s="2">
        <f>IF(EVALUADOR!Y58="","",EVALUADOR!F58)</f>
        <v/>
      </c>
      <c r="D58" s="2">
        <f>IF(EVALUADOR!Y58="","",EVALUADOR!G58)</f>
        <v/>
      </c>
      <c r="E58" s="6">
        <f>IF(EVALUADOR!Y58="","",EVALUADOR!H58)</f>
        <v/>
      </c>
      <c r="F58" s="7">
        <f>IF(EVALUADOR!Y58="","",EVALUADOR!S58)</f>
        <v/>
      </c>
      <c r="G58" s="7">
        <f>IF(EVALUADOR!Y58="","",EVALUADOR!V58)</f>
        <v/>
      </c>
      <c r="H58" s="2">
        <f>IF(EVALUADOR!Y58="","",EVALUADOR!W58)</f>
        <v/>
      </c>
      <c r="I58" s="2">
        <f>IF(EVALUADOR!Y58="","",EVALUADOR!X58)</f>
        <v/>
      </c>
      <c r="J58" s="2">
        <f>IF(EVALUADOR!Y58="","",EVALUADOR!Y58)</f>
        <v/>
      </c>
      <c r="K58" s="2">
        <f>IF(OR(J58="ALERTA FUERTE",J58="ALERTA MEDIA"),"PENDIENTE","-")</f>
        <v/>
      </c>
      <c r="L58" s="13">
        <f>IF(MOTOR!T58="","",MOTOR!O58)</f>
        <v/>
      </c>
      <c r="M58" s="13">
        <f>IF(MOTOR!T58="","",MOTOR!Q58)</f>
        <v/>
      </c>
      <c r="N58" s="13">
        <f>IF(MOTOR!T58="","",MOTOR!R58)</f>
        <v/>
      </c>
      <c r="O58" s="13">
        <f>IF(MOTOR!T58="","",MOTOR!S58)</f>
        <v/>
      </c>
    </row>
    <row r="59">
      <c r="A59" s="2">
        <f>IF(EVALUADOR!Y59="","",EVALUADOR!B59)</f>
        <v/>
      </c>
      <c r="B59" s="2">
        <f>IF(EVALUADOR!Y59="","",EVALUADOR!E59)</f>
        <v/>
      </c>
      <c r="C59" s="2">
        <f>IF(EVALUADOR!Y59="","",EVALUADOR!F59)</f>
        <v/>
      </c>
      <c r="D59" s="2">
        <f>IF(EVALUADOR!Y59="","",EVALUADOR!G59)</f>
        <v/>
      </c>
      <c r="E59" s="6">
        <f>IF(EVALUADOR!Y59="","",EVALUADOR!H59)</f>
        <v/>
      </c>
      <c r="F59" s="7">
        <f>IF(EVALUADOR!Y59="","",EVALUADOR!S59)</f>
        <v/>
      </c>
      <c r="G59" s="7">
        <f>IF(EVALUADOR!Y59="","",EVALUADOR!V59)</f>
        <v/>
      </c>
      <c r="H59" s="2">
        <f>IF(EVALUADOR!Y59="","",EVALUADOR!W59)</f>
        <v/>
      </c>
      <c r="I59" s="2">
        <f>IF(EVALUADOR!Y59="","",EVALUADOR!X59)</f>
        <v/>
      </c>
      <c r="J59" s="2">
        <f>IF(EVALUADOR!Y59="","",EVALUADOR!Y59)</f>
        <v/>
      </c>
      <c r="K59" s="2">
        <f>IF(OR(J59="ALERTA FUERTE",J59="ALERTA MEDIA"),"PENDIENTE","-")</f>
        <v/>
      </c>
      <c r="L59" s="13">
        <f>IF(MOTOR!T59="","",MOTOR!O59)</f>
        <v/>
      </c>
      <c r="M59" s="13">
        <f>IF(MOTOR!T59="","",MOTOR!Q59)</f>
        <v/>
      </c>
      <c r="N59" s="13">
        <f>IF(MOTOR!T59="","",MOTOR!R59)</f>
        <v/>
      </c>
      <c r="O59" s="13">
        <f>IF(MOTOR!T59="","",MOTOR!S59)</f>
        <v/>
      </c>
    </row>
    <row r="60">
      <c r="A60" s="2">
        <f>IF(EVALUADOR!Y60="","",EVALUADOR!B60)</f>
        <v/>
      </c>
      <c r="B60" s="2">
        <f>IF(EVALUADOR!Y60="","",EVALUADOR!E60)</f>
        <v/>
      </c>
      <c r="C60" s="2">
        <f>IF(EVALUADOR!Y60="","",EVALUADOR!F60)</f>
        <v/>
      </c>
      <c r="D60" s="2">
        <f>IF(EVALUADOR!Y60="","",EVALUADOR!G60)</f>
        <v/>
      </c>
      <c r="E60" s="6">
        <f>IF(EVALUADOR!Y60="","",EVALUADOR!H60)</f>
        <v/>
      </c>
      <c r="F60" s="7">
        <f>IF(EVALUADOR!Y60="","",EVALUADOR!S60)</f>
        <v/>
      </c>
      <c r="G60" s="7">
        <f>IF(EVALUADOR!Y60="","",EVALUADOR!V60)</f>
        <v/>
      </c>
      <c r="H60" s="2">
        <f>IF(EVALUADOR!Y60="","",EVALUADOR!W60)</f>
        <v/>
      </c>
      <c r="I60" s="2">
        <f>IF(EVALUADOR!Y60="","",EVALUADOR!X60)</f>
        <v/>
      </c>
      <c r="J60" s="2">
        <f>IF(EVALUADOR!Y60="","",EVALUADOR!Y60)</f>
        <v/>
      </c>
      <c r="K60" s="2">
        <f>IF(OR(J60="ALERTA FUERTE",J60="ALERTA MEDIA"),"PENDIENTE","-")</f>
        <v/>
      </c>
      <c r="L60" s="13">
        <f>IF(MOTOR!T60="","",MOTOR!O60)</f>
        <v/>
      </c>
      <c r="M60" s="13">
        <f>IF(MOTOR!T60="","",MOTOR!Q60)</f>
        <v/>
      </c>
      <c r="N60" s="13">
        <f>IF(MOTOR!T60="","",MOTOR!R60)</f>
        <v/>
      </c>
      <c r="O60" s="13">
        <f>IF(MOTOR!T60="","",MOTOR!S60)</f>
        <v/>
      </c>
    </row>
    <row r="61">
      <c r="A61" s="2">
        <f>IF(EVALUADOR!Y61="","",EVALUADOR!B61)</f>
        <v/>
      </c>
      <c r="B61" s="2">
        <f>IF(EVALUADOR!Y61="","",EVALUADOR!E61)</f>
        <v/>
      </c>
      <c r="C61" s="2">
        <f>IF(EVALUADOR!Y61="","",EVALUADOR!F61)</f>
        <v/>
      </c>
      <c r="D61" s="2">
        <f>IF(EVALUADOR!Y61="","",EVALUADOR!G61)</f>
        <v/>
      </c>
      <c r="E61" s="6">
        <f>IF(EVALUADOR!Y61="","",EVALUADOR!H61)</f>
        <v/>
      </c>
      <c r="F61" s="7">
        <f>IF(EVALUADOR!Y61="","",EVALUADOR!S61)</f>
        <v/>
      </c>
      <c r="G61" s="7">
        <f>IF(EVALUADOR!Y61="","",EVALUADOR!V61)</f>
        <v/>
      </c>
      <c r="H61" s="2">
        <f>IF(EVALUADOR!Y61="","",EVALUADOR!W61)</f>
        <v/>
      </c>
      <c r="I61" s="2">
        <f>IF(EVALUADOR!Y61="","",EVALUADOR!X61)</f>
        <v/>
      </c>
      <c r="J61" s="2">
        <f>IF(EVALUADOR!Y61="","",EVALUADOR!Y61)</f>
        <v/>
      </c>
      <c r="K61" s="2">
        <f>IF(OR(J61="ALERTA FUERTE",J61="ALERTA MEDIA"),"PENDIENTE","-")</f>
        <v/>
      </c>
      <c r="L61" s="13">
        <f>IF(MOTOR!T61="","",MOTOR!O61)</f>
        <v/>
      </c>
      <c r="M61" s="13">
        <f>IF(MOTOR!T61="","",MOTOR!Q61)</f>
        <v/>
      </c>
      <c r="N61" s="13">
        <f>IF(MOTOR!T61="","",MOTOR!R61)</f>
        <v/>
      </c>
      <c r="O61" s="13">
        <f>IF(MOTOR!T61="","",MOTOR!S61)</f>
        <v/>
      </c>
    </row>
    <row r="62">
      <c r="A62" s="2">
        <f>IF(EVALUADOR!Y62="","",EVALUADOR!B62)</f>
        <v/>
      </c>
      <c r="B62" s="2">
        <f>IF(EVALUADOR!Y62="","",EVALUADOR!E62)</f>
        <v/>
      </c>
      <c r="C62" s="2">
        <f>IF(EVALUADOR!Y62="","",EVALUADOR!F62)</f>
        <v/>
      </c>
      <c r="D62" s="2">
        <f>IF(EVALUADOR!Y62="","",EVALUADOR!G62)</f>
        <v/>
      </c>
      <c r="E62" s="6">
        <f>IF(EVALUADOR!Y62="","",EVALUADOR!H62)</f>
        <v/>
      </c>
      <c r="F62" s="7">
        <f>IF(EVALUADOR!Y62="","",EVALUADOR!S62)</f>
        <v/>
      </c>
      <c r="G62" s="7">
        <f>IF(EVALUADOR!Y62="","",EVALUADOR!V62)</f>
        <v/>
      </c>
      <c r="H62" s="2">
        <f>IF(EVALUADOR!Y62="","",EVALUADOR!W62)</f>
        <v/>
      </c>
      <c r="I62" s="2">
        <f>IF(EVALUADOR!Y62="","",EVALUADOR!X62)</f>
        <v/>
      </c>
      <c r="J62" s="2">
        <f>IF(EVALUADOR!Y62="","",EVALUADOR!Y62)</f>
        <v/>
      </c>
      <c r="K62" s="2">
        <f>IF(OR(J62="ALERTA FUERTE",J62="ALERTA MEDIA"),"PENDIENTE","-")</f>
        <v/>
      </c>
      <c r="L62" s="13">
        <f>IF(MOTOR!T62="","",MOTOR!O62)</f>
        <v/>
      </c>
      <c r="M62" s="13">
        <f>IF(MOTOR!T62="","",MOTOR!Q62)</f>
        <v/>
      </c>
      <c r="N62" s="13">
        <f>IF(MOTOR!T62="","",MOTOR!R62)</f>
        <v/>
      </c>
      <c r="O62" s="13">
        <f>IF(MOTOR!T62="","",MOTOR!S62)</f>
        <v/>
      </c>
    </row>
    <row r="63">
      <c r="A63" s="2">
        <f>IF(EVALUADOR!Y63="","",EVALUADOR!B63)</f>
        <v/>
      </c>
      <c r="B63" s="2">
        <f>IF(EVALUADOR!Y63="","",EVALUADOR!E63)</f>
        <v/>
      </c>
      <c r="C63" s="2">
        <f>IF(EVALUADOR!Y63="","",EVALUADOR!F63)</f>
        <v/>
      </c>
      <c r="D63" s="2">
        <f>IF(EVALUADOR!Y63="","",EVALUADOR!G63)</f>
        <v/>
      </c>
      <c r="E63" s="6">
        <f>IF(EVALUADOR!Y63="","",EVALUADOR!H63)</f>
        <v/>
      </c>
      <c r="F63" s="7">
        <f>IF(EVALUADOR!Y63="","",EVALUADOR!S63)</f>
        <v/>
      </c>
      <c r="G63" s="7">
        <f>IF(EVALUADOR!Y63="","",EVALUADOR!V63)</f>
        <v/>
      </c>
      <c r="H63" s="2">
        <f>IF(EVALUADOR!Y63="","",EVALUADOR!W63)</f>
        <v/>
      </c>
      <c r="I63" s="2">
        <f>IF(EVALUADOR!Y63="","",EVALUADOR!X63)</f>
        <v/>
      </c>
      <c r="J63" s="2">
        <f>IF(EVALUADOR!Y63="","",EVALUADOR!Y63)</f>
        <v/>
      </c>
      <c r="K63" s="2">
        <f>IF(OR(J63="ALERTA FUERTE",J63="ALERTA MEDIA"),"PENDIENTE","-")</f>
        <v/>
      </c>
      <c r="L63" s="13">
        <f>IF(MOTOR!T63="","",MOTOR!O63)</f>
        <v/>
      </c>
      <c r="M63" s="13">
        <f>IF(MOTOR!T63="","",MOTOR!Q63)</f>
        <v/>
      </c>
      <c r="N63" s="13">
        <f>IF(MOTOR!T63="","",MOTOR!R63)</f>
        <v/>
      </c>
      <c r="O63" s="13">
        <f>IF(MOTOR!T63="","",MOTOR!S63)</f>
        <v/>
      </c>
    </row>
    <row r="64">
      <c r="A64" s="2">
        <f>IF(EVALUADOR!Y64="","",EVALUADOR!B64)</f>
        <v/>
      </c>
      <c r="B64" s="2">
        <f>IF(EVALUADOR!Y64="","",EVALUADOR!E64)</f>
        <v/>
      </c>
      <c r="C64" s="2">
        <f>IF(EVALUADOR!Y64="","",EVALUADOR!F64)</f>
        <v/>
      </c>
      <c r="D64" s="2">
        <f>IF(EVALUADOR!Y64="","",EVALUADOR!G64)</f>
        <v/>
      </c>
      <c r="E64" s="6">
        <f>IF(EVALUADOR!Y64="","",EVALUADOR!H64)</f>
        <v/>
      </c>
      <c r="F64" s="7">
        <f>IF(EVALUADOR!Y64="","",EVALUADOR!S64)</f>
        <v/>
      </c>
      <c r="G64" s="7">
        <f>IF(EVALUADOR!Y64="","",EVALUADOR!V64)</f>
        <v/>
      </c>
      <c r="H64" s="2">
        <f>IF(EVALUADOR!Y64="","",EVALUADOR!W64)</f>
        <v/>
      </c>
      <c r="I64" s="2">
        <f>IF(EVALUADOR!Y64="","",EVALUADOR!X64)</f>
        <v/>
      </c>
      <c r="J64" s="2">
        <f>IF(EVALUADOR!Y64="","",EVALUADOR!Y64)</f>
        <v/>
      </c>
      <c r="K64" s="2">
        <f>IF(OR(J64="ALERTA FUERTE",J64="ALERTA MEDIA"),"PENDIENTE","-")</f>
        <v/>
      </c>
      <c r="L64" s="13">
        <f>IF(MOTOR!T64="","",MOTOR!O64)</f>
        <v/>
      </c>
      <c r="M64" s="13">
        <f>IF(MOTOR!T64="","",MOTOR!Q64)</f>
        <v/>
      </c>
      <c r="N64" s="13">
        <f>IF(MOTOR!T64="","",MOTOR!R64)</f>
        <v/>
      </c>
      <c r="O64" s="13">
        <f>IF(MOTOR!T64="","",MOTOR!S64)</f>
        <v/>
      </c>
    </row>
    <row r="65">
      <c r="A65" s="2">
        <f>IF(EVALUADOR!Y65="","",EVALUADOR!B65)</f>
        <v/>
      </c>
      <c r="B65" s="2">
        <f>IF(EVALUADOR!Y65="","",EVALUADOR!E65)</f>
        <v/>
      </c>
      <c r="C65" s="2">
        <f>IF(EVALUADOR!Y65="","",EVALUADOR!F65)</f>
        <v/>
      </c>
      <c r="D65" s="2">
        <f>IF(EVALUADOR!Y65="","",EVALUADOR!G65)</f>
        <v/>
      </c>
      <c r="E65" s="6">
        <f>IF(EVALUADOR!Y65="","",EVALUADOR!H65)</f>
        <v/>
      </c>
      <c r="F65" s="7">
        <f>IF(EVALUADOR!Y65="","",EVALUADOR!S65)</f>
        <v/>
      </c>
      <c r="G65" s="7">
        <f>IF(EVALUADOR!Y65="","",EVALUADOR!V65)</f>
        <v/>
      </c>
      <c r="H65" s="2">
        <f>IF(EVALUADOR!Y65="","",EVALUADOR!W65)</f>
        <v/>
      </c>
      <c r="I65" s="2">
        <f>IF(EVALUADOR!Y65="","",EVALUADOR!X65)</f>
        <v/>
      </c>
      <c r="J65" s="2">
        <f>IF(EVALUADOR!Y65="","",EVALUADOR!Y65)</f>
        <v/>
      </c>
      <c r="K65" s="2">
        <f>IF(OR(J65="ALERTA FUERTE",J65="ALERTA MEDIA"),"PENDIENTE","-")</f>
        <v/>
      </c>
      <c r="L65" s="13">
        <f>IF(MOTOR!T65="","",MOTOR!O65)</f>
        <v/>
      </c>
      <c r="M65" s="13">
        <f>IF(MOTOR!T65="","",MOTOR!Q65)</f>
        <v/>
      </c>
      <c r="N65" s="13">
        <f>IF(MOTOR!T65="","",MOTOR!R65)</f>
        <v/>
      </c>
      <c r="O65" s="13">
        <f>IF(MOTOR!T65="","",MOTOR!S65)</f>
        <v/>
      </c>
    </row>
    <row r="66">
      <c r="A66" s="2">
        <f>IF(EVALUADOR!Y66="","",EVALUADOR!B66)</f>
        <v/>
      </c>
      <c r="B66" s="2">
        <f>IF(EVALUADOR!Y66="","",EVALUADOR!E66)</f>
        <v/>
      </c>
      <c r="C66" s="2">
        <f>IF(EVALUADOR!Y66="","",EVALUADOR!F66)</f>
        <v/>
      </c>
      <c r="D66" s="2">
        <f>IF(EVALUADOR!Y66="","",EVALUADOR!G66)</f>
        <v/>
      </c>
      <c r="E66" s="6">
        <f>IF(EVALUADOR!Y66="","",EVALUADOR!H66)</f>
        <v/>
      </c>
      <c r="F66" s="7">
        <f>IF(EVALUADOR!Y66="","",EVALUADOR!S66)</f>
        <v/>
      </c>
      <c r="G66" s="7">
        <f>IF(EVALUADOR!Y66="","",EVALUADOR!V66)</f>
        <v/>
      </c>
      <c r="H66" s="2">
        <f>IF(EVALUADOR!Y66="","",EVALUADOR!W66)</f>
        <v/>
      </c>
      <c r="I66" s="2">
        <f>IF(EVALUADOR!Y66="","",EVALUADOR!X66)</f>
        <v/>
      </c>
      <c r="J66" s="2">
        <f>IF(EVALUADOR!Y66="","",EVALUADOR!Y66)</f>
        <v/>
      </c>
      <c r="K66" s="2">
        <f>IF(OR(J66="ALERTA FUERTE",J66="ALERTA MEDIA"),"PENDIENTE","-")</f>
        <v/>
      </c>
      <c r="L66" s="13">
        <f>IF(MOTOR!T66="","",MOTOR!O66)</f>
        <v/>
      </c>
      <c r="M66" s="13">
        <f>IF(MOTOR!T66="","",MOTOR!Q66)</f>
        <v/>
      </c>
      <c r="N66" s="13">
        <f>IF(MOTOR!T66="","",MOTOR!R66)</f>
        <v/>
      </c>
      <c r="O66" s="13">
        <f>IF(MOTOR!T66="","",MOTOR!S66)</f>
        <v/>
      </c>
    </row>
    <row r="67">
      <c r="A67" s="2">
        <f>IF(EVALUADOR!Y67="","",EVALUADOR!B67)</f>
        <v/>
      </c>
      <c r="B67" s="2">
        <f>IF(EVALUADOR!Y67="","",EVALUADOR!E67)</f>
        <v/>
      </c>
      <c r="C67" s="2">
        <f>IF(EVALUADOR!Y67="","",EVALUADOR!F67)</f>
        <v/>
      </c>
      <c r="D67" s="2">
        <f>IF(EVALUADOR!Y67="","",EVALUADOR!G67)</f>
        <v/>
      </c>
      <c r="E67" s="6">
        <f>IF(EVALUADOR!Y67="","",EVALUADOR!H67)</f>
        <v/>
      </c>
      <c r="F67" s="7">
        <f>IF(EVALUADOR!Y67="","",EVALUADOR!S67)</f>
        <v/>
      </c>
      <c r="G67" s="7">
        <f>IF(EVALUADOR!Y67="","",EVALUADOR!V67)</f>
        <v/>
      </c>
      <c r="H67" s="2">
        <f>IF(EVALUADOR!Y67="","",EVALUADOR!W67)</f>
        <v/>
      </c>
      <c r="I67" s="2">
        <f>IF(EVALUADOR!Y67="","",EVALUADOR!X67)</f>
        <v/>
      </c>
      <c r="J67" s="2">
        <f>IF(EVALUADOR!Y67="","",EVALUADOR!Y67)</f>
        <v/>
      </c>
      <c r="K67" s="2">
        <f>IF(OR(J67="ALERTA FUERTE",J67="ALERTA MEDIA"),"PENDIENTE","-")</f>
        <v/>
      </c>
      <c r="L67" s="13">
        <f>IF(MOTOR!T67="","",MOTOR!O67)</f>
        <v/>
      </c>
      <c r="M67" s="13">
        <f>IF(MOTOR!T67="","",MOTOR!Q67)</f>
        <v/>
      </c>
      <c r="N67" s="13">
        <f>IF(MOTOR!T67="","",MOTOR!R67)</f>
        <v/>
      </c>
      <c r="O67" s="13">
        <f>IF(MOTOR!T67="","",MOTOR!S67)</f>
        <v/>
      </c>
    </row>
    <row r="68">
      <c r="A68" s="2">
        <f>IF(EVALUADOR!Y68="","",EVALUADOR!B68)</f>
        <v/>
      </c>
      <c r="B68" s="2">
        <f>IF(EVALUADOR!Y68="","",EVALUADOR!E68)</f>
        <v/>
      </c>
      <c r="C68" s="2">
        <f>IF(EVALUADOR!Y68="","",EVALUADOR!F68)</f>
        <v/>
      </c>
      <c r="D68" s="2">
        <f>IF(EVALUADOR!Y68="","",EVALUADOR!G68)</f>
        <v/>
      </c>
      <c r="E68" s="6">
        <f>IF(EVALUADOR!Y68="","",EVALUADOR!H68)</f>
        <v/>
      </c>
      <c r="F68" s="7">
        <f>IF(EVALUADOR!Y68="","",EVALUADOR!S68)</f>
        <v/>
      </c>
      <c r="G68" s="7">
        <f>IF(EVALUADOR!Y68="","",EVALUADOR!V68)</f>
        <v/>
      </c>
      <c r="H68" s="2">
        <f>IF(EVALUADOR!Y68="","",EVALUADOR!W68)</f>
        <v/>
      </c>
      <c r="I68" s="2">
        <f>IF(EVALUADOR!Y68="","",EVALUADOR!X68)</f>
        <v/>
      </c>
      <c r="J68" s="2">
        <f>IF(EVALUADOR!Y68="","",EVALUADOR!Y68)</f>
        <v/>
      </c>
      <c r="K68" s="2">
        <f>IF(OR(J68="ALERTA FUERTE",J68="ALERTA MEDIA"),"PENDIENTE","-")</f>
        <v/>
      </c>
      <c r="L68" s="13">
        <f>IF(MOTOR!T68="","",MOTOR!O68)</f>
        <v/>
      </c>
      <c r="M68" s="13">
        <f>IF(MOTOR!T68="","",MOTOR!Q68)</f>
        <v/>
      </c>
      <c r="N68" s="13">
        <f>IF(MOTOR!T68="","",MOTOR!R68)</f>
        <v/>
      </c>
      <c r="O68" s="13">
        <f>IF(MOTOR!T68="","",MOTOR!S68)</f>
        <v/>
      </c>
    </row>
    <row r="69">
      <c r="A69" s="2">
        <f>IF(EVALUADOR!Y69="","",EVALUADOR!B69)</f>
        <v/>
      </c>
      <c r="B69" s="2">
        <f>IF(EVALUADOR!Y69="","",EVALUADOR!E69)</f>
        <v/>
      </c>
      <c r="C69" s="2">
        <f>IF(EVALUADOR!Y69="","",EVALUADOR!F69)</f>
        <v/>
      </c>
      <c r="D69" s="2">
        <f>IF(EVALUADOR!Y69="","",EVALUADOR!G69)</f>
        <v/>
      </c>
      <c r="E69" s="6">
        <f>IF(EVALUADOR!Y69="","",EVALUADOR!H69)</f>
        <v/>
      </c>
      <c r="F69" s="7">
        <f>IF(EVALUADOR!Y69="","",EVALUADOR!S69)</f>
        <v/>
      </c>
      <c r="G69" s="7">
        <f>IF(EVALUADOR!Y69="","",EVALUADOR!V69)</f>
        <v/>
      </c>
      <c r="H69" s="2">
        <f>IF(EVALUADOR!Y69="","",EVALUADOR!W69)</f>
        <v/>
      </c>
      <c r="I69" s="2">
        <f>IF(EVALUADOR!Y69="","",EVALUADOR!X69)</f>
        <v/>
      </c>
      <c r="J69" s="2">
        <f>IF(EVALUADOR!Y69="","",EVALUADOR!Y69)</f>
        <v/>
      </c>
      <c r="K69" s="2">
        <f>IF(OR(J69="ALERTA FUERTE",J69="ALERTA MEDIA"),"PENDIENTE","-")</f>
        <v/>
      </c>
      <c r="L69" s="13">
        <f>IF(MOTOR!T69="","",MOTOR!O69)</f>
        <v/>
      </c>
      <c r="M69" s="13">
        <f>IF(MOTOR!T69="","",MOTOR!Q69)</f>
        <v/>
      </c>
      <c r="N69" s="13">
        <f>IF(MOTOR!T69="","",MOTOR!R69)</f>
        <v/>
      </c>
      <c r="O69" s="13">
        <f>IF(MOTOR!T69="","",MOTOR!S69)</f>
        <v/>
      </c>
    </row>
    <row r="70">
      <c r="A70" s="2">
        <f>IF(EVALUADOR!Y70="","",EVALUADOR!B70)</f>
        <v/>
      </c>
      <c r="B70" s="2">
        <f>IF(EVALUADOR!Y70="","",EVALUADOR!E70)</f>
        <v/>
      </c>
      <c r="C70" s="2">
        <f>IF(EVALUADOR!Y70="","",EVALUADOR!F70)</f>
        <v/>
      </c>
      <c r="D70" s="2">
        <f>IF(EVALUADOR!Y70="","",EVALUADOR!G70)</f>
        <v/>
      </c>
      <c r="E70" s="6">
        <f>IF(EVALUADOR!Y70="","",EVALUADOR!H70)</f>
        <v/>
      </c>
      <c r="F70" s="7">
        <f>IF(EVALUADOR!Y70="","",EVALUADOR!S70)</f>
        <v/>
      </c>
      <c r="G70" s="7">
        <f>IF(EVALUADOR!Y70="","",EVALUADOR!V70)</f>
        <v/>
      </c>
      <c r="H70" s="2">
        <f>IF(EVALUADOR!Y70="","",EVALUADOR!W70)</f>
        <v/>
      </c>
      <c r="I70" s="2">
        <f>IF(EVALUADOR!Y70="","",EVALUADOR!X70)</f>
        <v/>
      </c>
      <c r="J70" s="2">
        <f>IF(EVALUADOR!Y70="","",EVALUADOR!Y70)</f>
        <v/>
      </c>
      <c r="K70" s="2">
        <f>IF(OR(J70="ALERTA FUERTE",J70="ALERTA MEDIA"),"PENDIENTE","-")</f>
        <v/>
      </c>
      <c r="L70" s="13">
        <f>IF(MOTOR!T70="","",MOTOR!O70)</f>
        <v/>
      </c>
      <c r="M70" s="13">
        <f>IF(MOTOR!T70="","",MOTOR!Q70)</f>
        <v/>
      </c>
      <c r="N70" s="13">
        <f>IF(MOTOR!T70="","",MOTOR!R70)</f>
        <v/>
      </c>
      <c r="O70" s="13">
        <f>IF(MOTOR!T70="","",MOTOR!S70)</f>
        <v/>
      </c>
    </row>
    <row r="71">
      <c r="A71" s="2">
        <f>IF(EVALUADOR!Y71="","",EVALUADOR!B71)</f>
        <v/>
      </c>
      <c r="B71" s="2">
        <f>IF(EVALUADOR!Y71="","",EVALUADOR!E71)</f>
        <v/>
      </c>
      <c r="C71" s="2">
        <f>IF(EVALUADOR!Y71="","",EVALUADOR!F71)</f>
        <v/>
      </c>
      <c r="D71" s="2">
        <f>IF(EVALUADOR!Y71="","",EVALUADOR!G71)</f>
        <v/>
      </c>
      <c r="E71" s="6">
        <f>IF(EVALUADOR!Y71="","",EVALUADOR!H71)</f>
        <v/>
      </c>
      <c r="F71" s="7">
        <f>IF(EVALUADOR!Y71="","",EVALUADOR!S71)</f>
        <v/>
      </c>
      <c r="G71" s="7">
        <f>IF(EVALUADOR!Y71="","",EVALUADOR!V71)</f>
        <v/>
      </c>
      <c r="H71" s="2">
        <f>IF(EVALUADOR!Y71="","",EVALUADOR!W71)</f>
        <v/>
      </c>
      <c r="I71" s="2">
        <f>IF(EVALUADOR!Y71="","",EVALUADOR!X71)</f>
        <v/>
      </c>
      <c r="J71" s="2">
        <f>IF(EVALUADOR!Y71="","",EVALUADOR!Y71)</f>
        <v/>
      </c>
      <c r="K71" s="2">
        <f>IF(OR(J71="ALERTA FUERTE",J71="ALERTA MEDIA"),"PENDIENTE","-")</f>
        <v/>
      </c>
      <c r="L71" s="13">
        <f>IF(MOTOR!T71="","",MOTOR!O71)</f>
        <v/>
      </c>
      <c r="M71" s="13">
        <f>IF(MOTOR!T71="","",MOTOR!Q71)</f>
        <v/>
      </c>
      <c r="N71" s="13">
        <f>IF(MOTOR!T71="","",MOTOR!R71)</f>
        <v/>
      </c>
      <c r="O71" s="13">
        <f>IF(MOTOR!T71="","",MOTOR!S71)</f>
        <v/>
      </c>
    </row>
    <row r="72">
      <c r="A72" s="2">
        <f>IF(EVALUADOR!Y72="","",EVALUADOR!B72)</f>
        <v/>
      </c>
      <c r="B72" s="2">
        <f>IF(EVALUADOR!Y72="","",EVALUADOR!E72)</f>
        <v/>
      </c>
      <c r="C72" s="2">
        <f>IF(EVALUADOR!Y72="","",EVALUADOR!F72)</f>
        <v/>
      </c>
      <c r="D72" s="2">
        <f>IF(EVALUADOR!Y72="","",EVALUADOR!G72)</f>
        <v/>
      </c>
      <c r="E72" s="6">
        <f>IF(EVALUADOR!Y72="","",EVALUADOR!H72)</f>
        <v/>
      </c>
      <c r="F72" s="7">
        <f>IF(EVALUADOR!Y72="","",EVALUADOR!S72)</f>
        <v/>
      </c>
      <c r="G72" s="7">
        <f>IF(EVALUADOR!Y72="","",EVALUADOR!V72)</f>
        <v/>
      </c>
      <c r="H72" s="2">
        <f>IF(EVALUADOR!Y72="","",EVALUADOR!W72)</f>
        <v/>
      </c>
      <c r="I72" s="2">
        <f>IF(EVALUADOR!Y72="","",EVALUADOR!X72)</f>
        <v/>
      </c>
      <c r="J72" s="2">
        <f>IF(EVALUADOR!Y72="","",EVALUADOR!Y72)</f>
        <v/>
      </c>
      <c r="K72" s="2">
        <f>IF(OR(J72="ALERTA FUERTE",J72="ALERTA MEDIA"),"PENDIENTE","-")</f>
        <v/>
      </c>
      <c r="L72" s="13">
        <f>IF(MOTOR!T72="","",MOTOR!O72)</f>
        <v/>
      </c>
      <c r="M72" s="13">
        <f>IF(MOTOR!T72="","",MOTOR!Q72)</f>
        <v/>
      </c>
      <c r="N72" s="13">
        <f>IF(MOTOR!T72="","",MOTOR!R72)</f>
        <v/>
      </c>
      <c r="O72" s="13">
        <f>IF(MOTOR!T72="","",MOTOR!S72)</f>
        <v/>
      </c>
    </row>
    <row r="73">
      <c r="A73" s="2">
        <f>IF(EVALUADOR!Y73="","",EVALUADOR!B73)</f>
        <v/>
      </c>
      <c r="B73" s="2">
        <f>IF(EVALUADOR!Y73="","",EVALUADOR!E73)</f>
        <v/>
      </c>
      <c r="C73" s="2">
        <f>IF(EVALUADOR!Y73="","",EVALUADOR!F73)</f>
        <v/>
      </c>
      <c r="D73" s="2">
        <f>IF(EVALUADOR!Y73="","",EVALUADOR!G73)</f>
        <v/>
      </c>
      <c r="E73" s="6">
        <f>IF(EVALUADOR!Y73="","",EVALUADOR!H73)</f>
        <v/>
      </c>
      <c r="F73" s="7">
        <f>IF(EVALUADOR!Y73="","",EVALUADOR!S73)</f>
        <v/>
      </c>
      <c r="G73" s="7">
        <f>IF(EVALUADOR!Y73="","",EVALUADOR!V73)</f>
        <v/>
      </c>
      <c r="H73" s="2">
        <f>IF(EVALUADOR!Y73="","",EVALUADOR!W73)</f>
        <v/>
      </c>
      <c r="I73" s="2">
        <f>IF(EVALUADOR!Y73="","",EVALUADOR!X73)</f>
        <v/>
      </c>
      <c r="J73" s="2">
        <f>IF(EVALUADOR!Y73="","",EVALUADOR!Y73)</f>
        <v/>
      </c>
      <c r="K73" s="2">
        <f>IF(OR(J73="ALERTA FUERTE",J73="ALERTA MEDIA"),"PENDIENTE","-")</f>
        <v/>
      </c>
      <c r="L73" s="13">
        <f>IF(MOTOR!T73="","",MOTOR!O73)</f>
        <v/>
      </c>
      <c r="M73" s="13">
        <f>IF(MOTOR!T73="","",MOTOR!Q73)</f>
        <v/>
      </c>
      <c r="N73" s="13">
        <f>IF(MOTOR!T73="","",MOTOR!R73)</f>
        <v/>
      </c>
      <c r="O73" s="13">
        <f>IF(MOTOR!T73="","",MOTOR!S73)</f>
        <v/>
      </c>
    </row>
    <row r="74">
      <c r="A74" s="2">
        <f>IF(EVALUADOR!Y74="","",EVALUADOR!B74)</f>
        <v/>
      </c>
      <c r="B74" s="2">
        <f>IF(EVALUADOR!Y74="","",EVALUADOR!E74)</f>
        <v/>
      </c>
      <c r="C74" s="2">
        <f>IF(EVALUADOR!Y74="","",EVALUADOR!F74)</f>
        <v/>
      </c>
      <c r="D74" s="2">
        <f>IF(EVALUADOR!Y74="","",EVALUADOR!G74)</f>
        <v/>
      </c>
      <c r="E74" s="6">
        <f>IF(EVALUADOR!Y74="","",EVALUADOR!H74)</f>
        <v/>
      </c>
      <c r="F74" s="7">
        <f>IF(EVALUADOR!Y74="","",EVALUADOR!S74)</f>
        <v/>
      </c>
      <c r="G74" s="7">
        <f>IF(EVALUADOR!Y74="","",EVALUADOR!V74)</f>
        <v/>
      </c>
      <c r="H74" s="2">
        <f>IF(EVALUADOR!Y74="","",EVALUADOR!W74)</f>
        <v/>
      </c>
      <c r="I74" s="2">
        <f>IF(EVALUADOR!Y74="","",EVALUADOR!X74)</f>
        <v/>
      </c>
      <c r="J74" s="2">
        <f>IF(EVALUADOR!Y74="","",EVALUADOR!Y74)</f>
        <v/>
      </c>
      <c r="K74" s="2">
        <f>IF(OR(J74="ALERTA FUERTE",J74="ALERTA MEDIA"),"PENDIENTE","-")</f>
        <v/>
      </c>
      <c r="L74" s="13">
        <f>IF(MOTOR!T74="","",MOTOR!O74)</f>
        <v/>
      </c>
      <c r="M74" s="13">
        <f>IF(MOTOR!T74="","",MOTOR!Q74)</f>
        <v/>
      </c>
      <c r="N74" s="13">
        <f>IF(MOTOR!T74="","",MOTOR!R74)</f>
        <v/>
      </c>
      <c r="O74" s="13">
        <f>IF(MOTOR!T74="","",MOTOR!S74)</f>
        <v/>
      </c>
    </row>
    <row r="75">
      <c r="A75" s="2">
        <f>IF(EVALUADOR!Y75="","",EVALUADOR!B75)</f>
        <v/>
      </c>
      <c r="B75" s="2">
        <f>IF(EVALUADOR!Y75="","",EVALUADOR!E75)</f>
        <v/>
      </c>
      <c r="C75" s="2">
        <f>IF(EVALUADOR!Y75="","",EVALUADOR!F75)</f>
        <v/>
      </c>
      <c r="D75" s="2">
        <f>IF(EVALUADOR!Y75="","",EVALUADOR!G75)</f>
        <v/>
      </c>
      <c r="E75" s="6">
        <f>IF(EVALUADOR!Y75="","",EVALUADOR!H75)</f>
        <v/>
      </c>
      <c r="F75" s="7">
        <f>IF(EVALUADOR!Y75="","",EVALUADOR!S75)</f>
        <v/>
      </c>
      <c r="G75" s="7">
        <f>IF(EVALUADOR!Y75="","",EVALUADOR!V75)</f>
        <v/>
      </c>
      <c r="H75" s="2">
        <f>IF(EVALUADOR!Y75="","",EVALUADOR!W75)</f>
        <v/>
      </c>
      <c r="I75" s="2">
        <f>IF(EVALUADOR!Y75="","",EVALUADOR!X75)</f>
        <v/>
      </c>
      <c r="J75" s="2">
        <f>IF(EVALUADOR!Y75="","",EVALUADOR!Y75)</f>
        <v/>
      </c>
      <c r="K75" s="2">
        <f>IF(OR(J75="ALERTA FUERTE",J75="ALERTA MEDIA"),"PENDIENTE","-")</f>
        <v/>
      </c>
      <c r="L75" s="13">
        <f>IF(MOTOR!T75="","",MOTOR!O75)</f>
        <v/>
      </c>
      <c r="M75" s="13">
        <f>IF(MOTOR!T75="","",MOTOR!Q75)</f>
        <v/>
      </c>
      <c r="N75" s="13">
        <f>IF(MOTOR!T75="","",MOTOR!R75)</f>
        <v/>
      </c>
      <c r="O75" s="13">
        <f>IF(MOTOR!T75="","",MOTOR!S75)</f>
        <v/>
      </c>
    </row>
    <row r="76">
      <c r="A76" s="2">
        <f>IF(EVALUADOR!Y76="","",EVALUADOR!B76)</f>
        <v/>
      </c>
      <c r="B76" s="2">
        <f>IF(EVALUADOR!Y76="","",EVALUADOR!E76)</f>
        <v/>
      </c>
      <c r="C76" s="2">
        <f>IF(EVALUADOR!Y76="","",EVALUADOR!F76)</f>
        <v/>
      </c>
      <c r="D76" s="2">
        <f>IF(EVALUADOR!Y76="","",EVALUADOR!G76)</f>
        <v/>
      </c>
      <c r="E76" s="6">
        <f>IF(EVALUADOR!Y76="","",EVALUADOR!H76)</f>
        <v/>
      </c>
      <c r="F76" s="7">
        <f>IF(EVALUADOR!Y76="","",EVALUADOR!S76)</f>
        <v/>
      </c>
      <c r="G76" s="7">
        <f>IF(EVALUADOR!Y76="","",EVALUADOR!V76)</f>
        <v/>
      </c>
      <c r="H76" s="2">
        <f>IF(EVALUADOR!Y76="","",EVALUADOR!W76)</f>
        <v/>
      </c>
      <c r="I76" s="2">
        <f>IF(EVALUADOR!Y76="","",EVALUADOR!X76)</f>
        <v/>
      </c>
      <c r="J76" s="2">
        <f>IF(EVALUADOR!Y76="","",EVALUADOR!Y76)</f>
        <v/>
      </c>
      <c r="K76" s="2">
        <f>IF(OR(J76="ALERTA FUERTE",J76="ALERTA MEDIA"),"PENDIENTE","-")</f>
        <v/>
      </c>
      <c r="L76" s="13">
        <f>IF(MOTOR!T76="","",MOTOR!O76)</f>
        <v/>
      </c>
      <c r="M76" s="13">
        <f>IF(MOTOR!T76="","",MOTOR!Q76)</f>
        <v/>
      </c>
      <c r="N76" s="13">
        <f>IF(MOTOR!T76="","",MOTOR!R76)</f>
        <v/>
      </c>
      <c r="O76" s="13">
        <f>IF(MOTOR!T76="","",MOTOR!S76)</f>
        <v/>
      </c>
    </row>
    <row r="77">
      <c r="A77" s="2">
        <f>IF(EVALUADOR!Y77="","",EVALUADOR!B77)</f>
        <v/>
      </c>
      <c r="B77" s="2">
        <f>IF(EVALUADOR!Y77="","",EVALUADOR!E77)</f>
        <v/>
      </c>
      <c r="C77" s="2">
        <f>IF(EVALUADOR!Y77="","",EVALUADOR!F77)</f>
        <v/>
      </c>
      <c r="D77" s="2">
        <f>IF(EVALUADOR!Y77="","",EVALUADOR!G77)</f>
        <v/>
      </c>
      <c r="E77" s="6">
        <f>IF(EVALUADOR!Y77="","",EVALUADOR!H77)</f>
        <v/>
      </c>
      <c r="F77" s="7">
        <f>IF(EVALUADOR!Y77="","",EVALUADOR!S77)</f>
        <v/>
      </c>
      <c r="G77" s="7">
        <f>IF(EVALUADOR!Y77="","",EVALUADOR!V77)</f>
        <v/>
      </c>
      <c r="H77" s="2">
        <f>IF(EVALUADOR!Y77="","",EVALUADOR!W77)</f>
        <v/>
      </c>
      <c r="I77" s="2">
        <f>IF(EVALUADOR!Y77="","",EVALUADOR!X77)</f>
        <v/>
      </c>
      <c r="J77" s="2">
        <f>IF(EVALUADOR!Y77="","",EVALUADOR!Y77)</f>
        <v/>
      </c>
      <c r="K77" s="2">
        <f>IF(OR(J77="ALERTA FUERTE",J77="ALERTA MEDIA"),"PENDIENTE","-")</f>
        <v/>
      </c>
      <c r="L77" s="13">
        <f>IF(MOTOR!T77="","",MOTOR!O77)</f>
        <v/>
      </c>
      <c r="M77" s="13">
        <f>IF(MOTOR!T77="","",MOTOR!Q77)</f>
        <v/>
      </c>
      <c r="N77" s="13">
        <f>IF(MOTOR!T77="","",MOTOR!R77)</f>
        <v/>
      </c>
      <c r="O77" s="13">
        <f>IF(MOTOR!T77="","",MOTOR!S77)</f>
        <v/>
      </c>
    </row>
    <row r="78">
      <c r="A78" s="2">
        <f>IF(EVALUADOR!Y78="","",EVALUADOR!B78)</f>
        <v/>
      </c>
      <c r="B78" s="2">
        <f>IF(EVALUADOR!Y78="","",EVALUADOR!E78)</f>
        <v/>
      </c>
      <c r="C78" s="2">
        <f>IF(EVALUADOR!Y78="","",EVALUADOR!F78)</f>
        <v/>
      </c>
      <c r="D78" s="2">
        <f>IF(EVALUADOR!Y78="","",EVALUADOR!G78)</f>
        <v/>
      </c>
      <c r="E78" s="6">
        <f>IF(EVALUADOR!Y78="","",EVALUADOR!H78)</f>
        <v/>
      </c>
      <c r="F78" s="7">
        <f>IF(EVALUADOR!Y78="","",EVALUADOR!S78)</f>
        <v/>
      </c>
      <c r="G78" s="7">
        <f>IF(EVALUADOR!Y78="","",EVALUADOR!V78)</f>
        <v/>
      </c>
      <c r="H78" s="2">
        <f>IF(EVALUADOR!Y78="","",EVALUADOR!W78)</f>
        <v/>
      </c>
      <c r="I78" s="2">
        <f>IF(EVALUADOR!Y78="","",EVALUADOR!X78)</f>
        <v/>
      </c>
      <c r="J78" s="2">
        <f>IF(EVALUADOR!Y78="","",EVALUADOR!Y78)</f>
        <v/>
      </c>
      <c r="K78" s="2">
        <f>IF(OR(J78="ALERTA FUERTE",J78="ALERTA MEDIA"),"PENDIENTE","-")</f>
        <v/>
      </c>
      <c r="L78" s="13">
        <f>IF(MOTOR!T78="","",MOTOR!O78)</f>
        <v/>
      </c>
      <c r="M78" s="13">
        <f>IF(MOTOR!T78="","",MOTOR!Q78)</f>
        <v/>
      </c>
      <c r="N78" s="13">
        <f>IF(MOTOR!T78="","",MOTOR!R78)</f>
        <v/>
      </c>
      <c r="O78" s="13">
        <f>IF(MOTOR!T78="","",MOTOR!S78)</f>
        <v/>
      </c>
    </row>
    <row r="79">
      <c r="A79" s="2">
        <f>IF(EVALUADOR!Y79="","",EVALUADOR!B79)</f>
        <v/>
      </c>
      <c r="B79" s="2">
        <f>IF(EVALUADOR!Y79="","",EVALUADOR!E79)</f>
        <v/>
      </c>
      <c r="C79" s="2">
        <f>IF(EVALUADOR!Y79="","",EVALUADOR!F79)</f>
        <v/>
      </c>
      <c r="D79" s="2">
        <f>IF(EVALUADOR!Y79="","",EVALUADOR!G79)</f>
        <v/>
      </c>
      <c r="E79" s="6">
        <f>IF(EVALUADOR!Y79="","",EVALUADOR!H79)</f>
        <v/>
      </c>
      <c r="F79" s="7">
        <f>IF(EVALUADOR!Y79="","",EVALUADOR!S79)</f>
        <v/>
      </c>
      <c r="G79" s="7">
        <f>IF(EVALUADOR!Y79="","",EVALUADOR!V79)</f>
        <v/>
      </c>
      <c r="H79" s="2">
        <f>IF(EVALUADOR!Y79="","",EVALUADOR!W79)</f>
        <v/>
      </c>
      <c r="I79" s="2">
        <f>IF(EVALUADOR!Y79="","",EVALUADOR!X79)</f>
        <v/>
      </c>
      <c r="J79" s="2">
        <f>IF(EVALUADOR!Y79="","",EVALUADOR!Y79)</f>
        <v/>
      </c>
      <c r="K79" s="2">
        <f>IF(OR(J79="ALERTA FUERTE",J79="ALERTA MEDIA"),"PENDIENTE","-")</f>
        <v/>
      </c>
      <c r="L79" s="13">
        <f>IF(MOTOR!T79="","",MOTOR!O79)</f>
        <v/>
      </c>
      <c r="M79" s="13">
        <f>IF(MOTOR!T79="","",MOTOR!Q79)</f>
        <v/>
      </c>
      <c r="N79" s="13">
        <f>IF(MOTOR!T79="","",MOTOR!R79)</f>
        <v/>
      </c>
      <c r="O79" s="13">
        <f>IF(MOTOR!T79="","",MOTOR!S79)</f>
        <v/>
      </c>
    </row>
    <row r="80">
      <c r="A80" s="2">
        <f>IF(EVALUADOR!Y80="","",EVALUADOR!B80)</f>
        <v/>
      </c>
      <c r="B80" s="2">
        <f>IF(EVALUADOR!Y80="","",EVALUADOR!E80)</f>
        <v/>
      </c>
      <c r="C80" s="2">
        <f>IF(EVALUADOR!Y80="","",EVALUADOR!F80)</f>
        <v/>
      </c>
      <c r="D80" s="2">
        <f>IF(EVALUADOR!Y80="","",EVALUADOR!G80)</f>
        <v/>
      </c>
      <c r="E80" s="6">
        <f>IF(EVALUADOR!Y80="","",EVALUADOR!H80)</f>
        <v/>
      </c>
      <c r="F80" s="7">
        <f>IF(EVALUADOR!Y80="","",EVALUADOR!S80)</f>
        <v/>
      </c>
      <c r="G80" s="7">
        <f>IF(EVALUADOR!Y80="","",EVALUADOR!V80)</f>
        <v/>
      </c>
      <c r="H80" s="2">
        <f>IF(EVALUADOR!Y80="","",EVALUADOR!W80)</f>
        <v/>
      </c>
      <c r="I80" s="2">
        <f>IF(EVALUADOR!Y80="","",EVALUADOR!X80)</f>
        <v/>
      </c>
      <c r="J80" s="2">
        <f>IF(EVALUADOR!Y80="","",EVALUADOR!Y80)</f>
        <v/>
      </c>
      <c r="K80" s="2">
        <f>IF(OR(J80="ALERTA FUERTE",J80="ALERTA MEDIA"),"PENDIENTE","-")</f>
        <v/>
      </c>
      <c r="L80" s="13">
        <f>IF(MOTOR!T80="","",MOTOR!O80)</f>
        <v/>
      </c>
      <c r="M80" s="13">
        <f>IF(MOTOR!T80="","",MOTOR!Q80)</f>
        <v/>
      </c>
      <c r="N80" s="13">
        <f>IF(MOTOR!T80="","",MOTOR!R80)</f>
        <v/>
      </c>
      <c r="O80" s="13">
        <f>IF(MOTOR!T80="","",MOTOR!S80)</f>
        <v/>
      </c>
    </row>
    <row r="81">
      <c r="A81" s="2">
        <f>IF(EVALUADOR!Y81="","",EVALUADOR!B81)</f>
        <v/>
      </c>
      <c r="B81" s="2">
        <f>IF(EVALUADOR!Y81="","",EVALUADOR!E81)</f>
        <v/>
      </c>
      <c r="C81" s="2">
        <f>IF(EVALUADOR!Y81="","",EVALUADOR!F81)</f>
        <v/>
      </c>
      <c r="D81" s="2">
        <f>IF(EVALUADOR!Y81="","",EVALUADOR!G81)</f>
        <v/>
      </c>
      <c r="E81" s="6">
        <f>IF(EVALUADOR!Y81="","",EVALUADOR!H81)</f>
        <v/>
      </c>
      <c r="F81" s="7">
        <f>IF(EVALUADOR!Y81="","",EVALUADOR!S81)</f>
        <v/>
      </c>
      <c r="G81" s="7">
        <f>IF(EVALUADOR!Y81="","",EVALUADOR!V81)</f>
        <v/>
      </c>
      <c r="H81" s="2">
        <f>IF(EVALUADOR!Y81="","",EVALUADOR!W81)</f>
        <v/>
      </c>
      <c r="I81" s="2">
        <f>IF(EVALUADOR!Y81="","",EVALUADOR!X81)</f>
        <v/>
      </c>
      <c r="J81" s="2">
        <f>IF(EVALUADOR!Y81="","",EVALUADOR!Y81)</f>
        <v/>
      </c>
      <c r="K81" s="2">
        <f>IF(OR(J81="ALERTA FUERTE",J81="ALERTA MEDIA"),"PENDIENTE","-")</f>
        <v/>
      </c>
      <c r="L81" s="13">
        <f>IF(MOTOR!T81="","",MOTOR!O81)</f>
        <v/>
      </c>
      <c r="M81" s="13">
        <f>IF(MOTOR!T81="","",MOTOR!Q81)</f>
        <v/>
      </c>
      <c r="N81" s="13">
        <f>IF(MOTOR!T81="","",MOTOR!R81)</f>
        <v/>
      </c>
      <c r="O81" s="13">
        <f>IF(MOTOR!T81="","",MOTOR!S81)</f>
        <v/>
      </c>
    </row>
    <row r="82">
      <c r="A82" s="2">
        <f>IF(EVALUADOR!Y82="","",EVALUADOR!B82)</f>
        <v/>
      </c>
      <c r="B82" s="2">
        <f>IF(EVALUADOR!Y82="","",EVALUADOR!E82)</f>
        <v/>
      </c>
      <c r="C82" s="2">
        <f>IF(EVALUADOR!Y82="","",EVALUADOR!F82)</f>
        <v/>
      </c>
      <c r="D82" s="2">
        <f>IF(EVALUADOR!Y82="","",EVALUADOR!G82)</f>
        <v/>
      </c>
      <c r="E82" s="6">
        <f>IF(EVALUADOR!Y82="","",EVALUADOR!H82)</f>
        <v/>
      </c>
      <c r="F82" s="7">
        <f>IF(EVALUADOR!Y82="","",EVALUADOR!S82)</f>
        <v/>
      </c>
      <c r="G82" s="7">
        <f>IF(EVALUADOR!Y82="","",EVALUADOR!V82)</f>
        <v/>
      </c>
      <c r="H82" s="2">
        <f>IF(EVALUADOR!Y82="","",EVALUADOR!W82)</f>
        <v/>
      </c>
      <c r="I82" s="2">
        <f>IF(EVALUADOR!Y82="","",EVALUADOR!X82)</f>
        <v/>
      </c>
      <c r="J82" s="2">
        <f>IF(EVALUADOR!Y82="","",EVALUADOR!Y82)</f>
        <v/>
      </c>
      <c r="K82" s="2">
        <f>IF(OR(J82="ALERTA FUERTE",J82="ALERTA MEDIA"),"PENDIENTE","-")</f>
        <v/>
      </c>
      <c r="L82" s="13">
        <f>IF(MOTOR!T82="","",MOTOR!O82)</f>
        <v/>
      </c>
      <c r="M82" s="13">
        <f>IF(MOTOR!T82="","",MOTOR!Q82)</f>
        <v/>
      </c>
      <c r="N82" s="13">
        <f>IF(MOTOR!T82="","",MOTOR!R82)</f>
        <v/>
      </c>
      <c r="O82" s="13">
        <f>IF(MOTOR!T82="","",MOTOR!S82)</f>
        <v/>
      </c>
    </row>
    <row r="83">
      <c r="A83" s="2">
        <f>IF(EVALUADOR!Y83="","",EVALUADOR!B83)</f>
        <v/>
      </c>
      <c r="B83" s="2">
        <f>IF(EVALUADOR!Y83="","",EVALUADOR!E83)</f>
        <v/>
      </c>
      <c r="C83" s="2">
        <f>IF(EVALUADOR!Y83="","",EVALUADOR!F83)</f>
        <v/>
      </c>
      <c r="D83" s="2">
        <f>IF(EVALUADOR!Y83="","",EVALUADOR!G83)</f>
        <v/>
      </c>
      <c r="E83" s="6">
        <f>IF(EVALUADOR!Y83="","",EVALUADOR!H83)</f>
        <v/>
      </c>
      <c r="F83" s="7">
        <f>IF(EVALUADOR!Y83="","",EVALUADOR!S83)</f>
        <v/>
      </c>
      <c r="G83" s="7">
        <f>IF(EVALUADOR!Y83="","",EVALUADOR!V83)</f>
        <v/>
      </c>
      <c r="H83" s="2">
        <f>IF(EVALUADOR!Y83="","",EVALUADOR!W83)</f>
        <v/>
      </c>
      <c r="I83" s="2">
        <f>IF(EVALUADOR!Y83="","",EVALUADOR!X83)</f>
        <v/>
      </c>
      <c r="J83" s="2">
        <f>IF(EVALUADOR!Y83="","",EVALUADOR!Y83)</f>
        <v/>
      </c>
      <c r="K83" s="2">
        <f>IF(OR(J83="ALERTA FUERTE",J83="ALERTA MEDIA"),"PENDIENTE","-")</f>
        <v/>
      </c>
      <c r="L83" s="13">
        <f>IF(MOTOR!T83="","",MOTOR!O83)</f>
        <v/>
      </c>
      <c r="M83" s="13">
        <f>IF(MOTOR!T83="","",MOTOR!Q83)</f>
        <v/>
      </c>
      <c r="N83" s="13">
        <f>IF(MOTOR!T83="","",MOTOR!R83)</f>
        <v/>
      </c>
      <c r="O83" s="13">
        <f>IF(MOTOR!T83="","",MOTOR!S83)</f>
        <v/>
      </c>
    </row>
    <row r="84">
      <c r="A84" s="2">
        <f>IF(EVALUADOR!Y84="","",EVALUADOR!B84)</f>
        <v/>
      </c>
      <c r="B84" s="2">
        <f>IF(EVALUADOR!Y84="","",EVALUADOR!E84)</f>
        <v/>
      </c>
      <c r="C84" s="2">
        <f>IF(EVALUADOR!Y84="","",EVALUADOR!F84)</f>
        <v/>
      </c>
      <c r="D84" s="2">
        <f>IF(EVALUADOR!Y84="","",EVALUADOR!G84)</f>
        <v/>
      </c>
      <c r="E84" s="6">
        <f>IF(EVALUADOR!Y84="","",EVALUADOR!H84)</f>
        <v/>
      </c>
      <c r="F84" s="7">
        <f>IF(EVALUADOR!Y84="","",EVALUADOR!S84)</f>
        <v/>
      </c>
      <c r="G84" s="7">
        <f>IF(EVALUADOR!Y84="","",EVALUADOR!V84)</f>
        <v/>
      </c>
      <c r="H84" s="2">
        <f>IF(EVALUADOR!Y84="","",EVALUADOR!W84)</f>
        <v/>
      </c>
      <c r="I84" s="2">
        <f>IF(EVALUADOR!Y84="","",EVALUADOR!X84)</f>
        <v/>
      </c>
      <c r="J84" s="2">
        <f>IF(EVALUADOR!Y84="","",EVALUADOR!Y84)</f>
        <v/>
      </c>
      <c r="K84" s="2">
        <f>IF(OR(J84="ALERTA FUERTE",J84="ALERTA MEDIA"),"PENDIENTE","-")</f>
        <v/>
      </c>
      <c r="L84" s="13">
        <f>IF(MOTOR!T84="","",MOTOR!O84)</f>
        <v/>
      </c>
      <c r="M84" s="13">
        <f>IF(MOTOR!T84="","",MOTOR!Q84)</f>
        <v/>
      </c>
      <c r="N84" s="13">
        <f>IF(MOTOR!T84="","",MOTOR!R84)</f>
        <v/>
      </c>
      <c r="O84" s="13">
        <f>IF(MOTOR!T84="","",MOTOR!S84)</f>
        <v/>
      </c>
    </row>
    <row r="85">
      <c r="A85" s="2">
        <f>IF(EVALUADOR!Y85="","",EVALUADOR!B85)</f>
        <v/>
      </c>
      <c r="B85" s="2">
        <f>IF(EVALUADOR!Y85="","",EVALUADOR!E85)</f>
        <v/>
      </c>
      <c r="C85" s="2">
        <f>IF(EVALUADOR!Y85="","",EVALUADOR!F85)</f>
        <v/>
      </c>
      <c r="D85" s="2">
        <f>IF(EVALUADOR!Y85="","",EVALUADOR!G85)</f>
        <v/>
      </c>
      <c r="E85" s="6">
        <f>IF(EVALUADOR!Y85="","",EVALUADOR!H85)</f>
        <v/>
      </c>
      <c r="F85" s="7">
        <f>IF(EVALUADOR!Y85="","",EVALUADOR!S85)</f>
        <v/>
      </c>
      <c r="G85" s="7">
        <f>IF(EVALUADOR!Y85="","",EVALUADOR!V85)</f>
        <v/>
      </c>
      <c r="H85" s="2">
        <f>IF(EVALUADOR!Y85="","",EVALUADOR!W85)</f>
        <v/>
      </c>
      <c r="I85" s="2">
        <f>IF(EVALUADOR!Y85="","",EVALUADOR!X85)</f>
        <v/>
      </c>
      <c r="J85" s="2">
        <f>IF(EVALUADOR!Y85="","",EVALUADOR!Y85)</f>
        <v/>
      </c>
      <c r="K85" s="2">
        <f>IF(OR(J85="ALERTA FUERTE",J85="ALERTA MEDIA"),"PENDIENTE","-")</f>
        <v/>
      </c>
      <c r="L85" s="13">
        <f>IF(MOTOR!T85="","",MOTOR!O85)</f>
        <v/>
      </c>
      <c r="M85" s="13">
        <f>IF(MOTOR!T85="","",MOTOR!Q85)</f>
        <v/>
      </c>
      <c r="N85" s="13">
        <f>IF(MOTOR!T85="","",MOTOR!R85)</f>
        <v/>
      </c>
      <c r="O85" s="13">
        <f>IF(MOTOR!T85="","",MOTOR!S85)</f>
        <v/>
      </c>
    </row>
    <row r="86">
      <c r="A86" s="2">
        <f>IF(EVALUADOR!Y86="","",EVALUADOR!B86)</f>
        <v/>
      </c>
      <c r="B86" s="2">
        <f>IF(EVALUADOR!Y86="","",EVALUADOR!E86)</f>
        <v/>
      </c>
      <c r="C86" s="2">
        <f>IF(EVALUADOR!Y86="","",EVALUADOR!F86)</f>
        <v/>
      </c>
      <c r="D86" s="2">
        <f>IF(EVALUADOR!Y86="","",EVALUADOR!G86)</f>
        <v/>
      </c>
      <c r="E86" s="6">
        <f>IF(EVALUADOR!Y86="","",EVALUADOR!H86)</f>
        <v/>
      </c>
      <c r="F86" s="7">
        <f>IF(EVALUADOR!Y86="","",EVALUADOR!S86)</f>
        <v/>
      </c>
      <c r="G86" s="7">
        <f>IF(EVALUADOR!Y86="","",EVALUADOR!V86)</f>
        <v/>
      </c>
      <c r="H86" s="2">
        <f>IF(EVALUADOR!Y86="","",EVALUADOR!W86)</f>
        <v/>
      </c>
      <c r="I86" s="2">
        <f>IF(EVALUADOR!Y86="","",EVALUADOR!X86)</f>
        <v/>
      </c>
      <c r="J86" s="2">
        <f>IF(EVALUADOR!Y86="","",EVALUADOR!Y86)</f>
        <v/>
      </c>
      <c r="K86" s="2">
        <f>IF(OR(J86="ALERTA FUERTE",J86="ALERTA MEDIA"),"PENDIENTE","-")</f>
        <v/>
      </c>
      <c r="L86" s="13">
        <f>IF(MOTOR!T86="","",MOTOR!O86)</f>
        <v/>
      </c>
      <c r="M86" s="13">
        <f>IF(MOTOR!T86="","",MOTOR!Q86)</f>
        <v/>
      </c>
      <c r="N86" s="13">
        <f>IF(MOTOR!T86="","",MOTOR!R86)</f>
        <v/>
      </c>
      <c r="O86" s="13">
        <f>IF(MOTOR!T86="","",MOTOR!S86)</f>
        <v/>
      </c>
    </row>
    <row r="87">
      <c r="A87" s="2">
        <f>IF(EVALUADOR!Y87="","",EVALUADOR!B87)</f>
        <v/>
      </c>
      <c r="B87" s="2">
        <f>IF(EVALUADOR!Y87="","",EVALUADOR!E87)</f>
        <v/>
      </c>
      <c r="C87" s="2">
        <f>IF(EVALUADOR!Y87="","",EVALUADOR!F87)</f>
        <v/>
      </c>
      <c r="D87" s="2">
        <f>IF(EVALUADOR!Y87="","",EVALUADOR!G87)</f>
        <v/>
      </c>
      <c r="E87" s="6">
        <f>IF(EVALUADOR!Y87="","",EVALUADOR!H87)</f>
        <v/>
      </c>
      <c r="F87" s="7">
        <f>IF(EVALUADOR!Y87="","",EVALUADOR!S87)</f>
        <v/>
      </c>
      <c r="G87" s="7">
        <f>IF(EVALUADOR!Y87="","",EVALUADOR!V87)</f>
        <v/>
      </c>
      <c r="H87" s="2">
        <f>IF(EVALUADOR!Y87="","",EVALUADOR!W87)</f>
        <v/>
      </c>
      <c r="I87" s="2">
        <f>IF(EVALUADOR!Y87="","",EVALUADOR!X87)</f>
        <v/>
      </c>
      <c r="J87" s="2">
        <f>IF(EVALUADOR!Y87="","",EVALUADOR!Y87)</f>
        <v/>
      </c>
      <c r="K87" s="2">
        <f>IF(OR(J87="ALERTA FUERTE",J87="ALERTA MEDIA"),"PENDIENTE","-")</f>
        <v/>
      </c>
      <c r="L87" s="13">
        <f>IF(MOTOR!T87="","",MOTOR!O87)</f>
        <v/>
      </c>
      <c r="M87" s="13">
        <f>IF(MOTOR!T87="","",MOTOR!Q87)</f>
        <v/>
      </c>
      <c r="N87" s="13">
        <f>IF(MOTOR!T87="","",MOTOR!R87)</f>
        <v/>
      </c>
      <c r="O87" s="13">
        <f>IF(MOTOR!T87="","",MOTOR!S87)</f>
        <v/>
      </c>
    </row>
    <row r="88">
      <c r="A88" s="2">
        <f>IF(EVALUADOR!Y88="","",EVALUADOR!B88)</f>
        <v/>
      </c>
      <c r="B88" s="2">
        <f>IF(EVALUADOR!Y88="","",EVALUADOR!E88)</f>
        <v/>
      </c>
      <c r="C88" s="2">
        <f>IF(EVALUADOR!Y88="","",EVALUADOR!F88)</f>
        <v/>
      </c>
      <c r="D88" s="2">
        <f>IF(EVALUADOR!Y88="","",EVALUADOR!G88)</f>
        <v/>
      </c>
      <c r="E88" s="6">
        <f>IF(EVALUADOR!Y88="","",EVALUADOR!H88)</f>
        <v/>
      </c>
      <c r="F88" s="7">
        <f>IF(EVALUADOR!Y88="","",EVALUADOR!S88)</f>
        <v/>
      </c>
      <c r="G88" s="7">
        <f>IF(EVALUADOR!Y88="","",EVALUADOR!V88)</f>
        <v/>
      </c>
      <c r="H88" s="2">
        <f>IF(EVALUADOR!Y88="","",EVALUADOR!W88)</f>
        <v/>
      </c>
      <c r="I88" s="2">
        <f>IF(EVALUADOR!Y88="","",EVALUADOR!X88)</f>
        <v/>
      </c>
      <c r="J88" s="2">
        <f>IF(EVALUADOR!Y88="","",EVALUADOR!Y88)</f>
        <v/>
      </c>
      <c r="K88" s="2">
        <f>IF(OR(J88="ALERTA FUERTE",J88="ALERTA MEDIA"),"PENDIENTE","-")</f>
        <v/>
      </c>
      <c r="L88" s="13">
        <f>IF(MOTOR!T88="","",MOTOR!O88)</f>
        <v/>
      </c>
      <c r="M88" s="13">
        <f>IF(MOTOR!T88="","",MOTOR!Q88)</f>
        <v/>
      </c>
      <c r="N88" s="13">
        <f>IF(MOTOR!T88="","",MOTOR!R88)</f>
        <v/>
      </c>
      <c r="O88" s="13">
        <f>IF(MOTOR!T88="","",MOTOR!S88)</f>
        <v/>
      </c>
    </row>
    <row r="89">
      <c r="A89" s="2">
        <f>IF(EVALUADOR!Y89="","",EVALUADOR!B89)</f>
        <v/>
      </c>
      <c r="B89" s="2">
        <f>IF(EVALUADOR!Y89="","",EVALUADOR!E89)</f>
        <v/>
      </c>
      <c r="C89" s="2">
        <f>IF(EVALUADOR!Y89="","",EVALUADOR!F89)</f>
        <v/>
      </c>
      <c r="D89" s="2">
        <f>IF(EVALUADOR!Y89="","",EVALUADOR!G89)</f>
        <v/>
      </c>
      <c r="E89" s="6">
        <f>IF(EVALUADOR!Y89="","",EVALUADOR!H89)</f>
        <v/>
      </c>
      <c r="F89" s="7">
        <f>IF(EVALUADOR!Y89="","",EVALUADOR!S89)</f>
        <v/>
      </c>
      <c r="G89" s="7">
        <f>IF(EVALUADOR!Y89="","",EVALUADOR!V89)</f>
        <v/>
      </c>
      <c r="H89" s="2">
        <f>IF(EVALUADOR!Y89="","",EVALUADOR!W89)</f>
        <v/>
      </c>
      <c r="I89" s="2">
        <f>IF(EVALUADOR!Y89="","",EVALUADOR!X89)</f>
        <v/>
      </c>
      <c r="J89" s="2">
        <f>IF(EVALUADOR!Y89="","",EVALUADOR!Y89)</f>
        <v/>
      </c>
      <c r="K89" s="2">
        <f>IF(OR(J89="ALERTA FUERTE",J89="ALERTA MEDIA"),"PENDIENTE","-")</f>
        <v/>
      </c>
      <c r="L89" s="13">
        <f>IF(MOTOR!T89="","",MOTOR!O89)</f>
        <v/>
      </c>
      <c r="M89" s="13">
        <f>IF(MOTOR!T89="","",MOTOR!Q89)</f>
        <v/>
      </c>
      <c r="N89" s="13">
        <f>IF(MOTOR!T89="","",MOTOR!R89)</f>
        <v/>
      </c>
      <c r="O89" s="13">
        <f>IF(MOTOR!T89="","",MOTOR!S89)</f>
        <v/>
      </c>
    </row>
    <row r="90">
      <c r="A90" s="2">
        <f>IF(EVALUADOR!Y90="","",EVALUADOR!B90)</f>
        <v/>
      </c>
      <c r="B90" s="2">
        <f>IF(EVALUADOR!Y90="","",EVALUADOR!E90)</f>
        <v/>
      </c>
      <c r="C90" s="2">
        <f>IF(EVALUADOR!Y90="","",EVALUADOR!F90)</f>
        <v/>
      </c>
      <c r="D90" s="2">
        <f>IF(EVALUADOR!Y90="","",EVALUADOR!G90)</f>
        <v/>
      </c>
      <c r="E90" s="6">
        <f>IF(EVALUADOR!Y90="","",EVALUADOR!H90)</f>
        <v/>
      </c>
      <c r="F90" s="7">
        <f>IF(EVALUADOR!Y90="","",EVALUADOR!S90)</f>
        <v/>
      </c>
      <c r="G90" s="7">
        <f>IF(EVALUADOR!Y90="","",EVALUADOR!V90)</f>
        <v/>
      </c>
      <c r="H90" s="2">
        <f>IF(EVALUADOR!Y90="","",EVALUADOR!W90)</f>
        <v/>
      </c>
      <c r="I90" s="2">
        <f>IF(EVALUADOR!Y90="","",EVALUADOR!X90)</f>
        <v/>
      </c>
      <c r="J90" s="2">
        <f>IF(EVALUADOR!Y90="","",EVALUADOR!Y90)</f>
        <v/>
      </c>
      <c r="K90" s="2">
        <f>IF(OR(J90="ALERTA FUERTE",J90="ALERTA MEDIA"),"PENDIENTE","-")</f>
        <v/>
      </c>
      <c r="L90" s="13">
        <f>IF(MOTOR!T90="","",MOTOR!O90)</f>
        <v/>
      </c>
      <c r="M90" s="13">
        <f>IF(MOTOR!T90="","",MOTOR!Q90)</f>
        <v/>
      </c>
      <c r="N90" s="13">
        <f>IF(MOTOR!T90="","",MOTOR!R90)</f>
        <v/>
      </c>
      <c r="O90" s="13">
        <f>IF(MOTOR!T90="","",MOTOR!S90)</f>
        <v/>
      </c>
    </row>
    <row r="91">
      <c r="A91" s="2">
        <f>IF(EVALUADOR!Y91="","",EVALUADOR!B91)</f>
        <v/>
      </c>
      <c r="B91" s="2">
        <f>IF(EVALUADOR!Y91="","",EVALUADOR!E91)</f>
        <v/>
      </c>
      <c r="C91" s="2">
        <f>IF(EVALUADOR!Y91="","",EVALUADOR!F91)</f>
        <v/>
      </c>
      <c r="D91" s="2">
        <f>IF(EVALUADOR!Y91="","",EVALUADOR!G91)</f>
        <v/>
      </c>
      <c r="E91" s="6">
        <f>IF(EVALUADOR!Y91="","",EVALUADOR!H91)</f>
        <v/>
      </c>
      <c r="F91" s="7">
        <f>IF(EVALUADOR!Y91="","",EVALUADOR!S91)</f>
        <v/>
      </c>
      <c r="G91" s="7">
        <f>IF(EVALUADOR!Y91="","",EVALUADOR!V91)</f>
        <v/>
      </c>
      <c r="H91" s="2">
        <f>IF(EVALUADOR!Y91="","",EVALUADOR!W91)</f>
        <v/>
      </c>
      <c r="I91" s="2">
        <f>IF(EVALUADOR!Y91="","",EVALUADOR!X91)</f>
        <v/>
      </c>
      <c r="J91" s="2">
        <f>IF(EVALUADOR!Y91="","",EVALUADOR!Y91)</f>
        <v/>
      </c>
      <c r="K91" s="2">
        <f>IF(OR(J91="ALERTA FUERTE",J91="ALERTA MEDIA"),"PENDIENTE","-")</f>
        <v/>
      </c>
      <c r="L91" s="13">
        <f>IF(MOTOR!T91="","",MOTOR!O91)</f>
        <v/>
      </c>
      <c r="M91" s="13">
        <f>IF(MOTOR!T91="","",MOTOR!Q91)</f>
        <v/>
      </c>
      <c r="N91" s="13">
        <f>IF(MOTOR!T91="","",MOTOR!R91)</f>
        <v/>
      </c>
      <c r="O91" s="13">
        <f>IF(MOTOR!T91="","",MOTOR!S91)</f>
        <v/>
      </c>
    </row>
    <row r="92">
      <c r="A92" s="2">
        <f>IF(EVALUADOR!Y92="","",EVALUADOR!B92)</f>
        <v/>
      </c>
      <c r="B92" s="2">
        <f>IF(EVALUADOR!Y92="","",EVALUADOR!E92)</f>
        <v/>
      </c>
      <c r="C92" s="2">
        <f>IF(EVALUADOR!Y92="","",EVALUADOR!F92)</f>
        <v/>
      </c>
      <c r="D92" s="2">
        <f>IF(EVALUADOR!Y92="","",EVALUADOR!G92)</f>
        <v/>
      </c>
      <c r="E92" s="6">
        <f>IF(EVALUADOR!Y92="","",EVALUADOR!H92)</f>
        <v/>
      </c>
      <c r="F92" s="7">
        <f>IF(EVALUADOR!Y92="","",EVALUADOR!S92)</f>
        <v/>
      </c>
      <c r="G92" s="7">
        <f>IF(EVALUADOR!Y92="","",EVALUADOR!V92)</f>
        <v/>
      </c>
      <c r="H92" s="2">
        <f>IF(EVALUADOR!Y92="","",EVALUADOR!W92)</f>
        <v/>
      </c>
      <c r="I92" s="2">
        <f>IF(EVALUADOR!Y92="","",EVALUADOR!X92)</f>
        <v/>
      </c>
      <c r="J92" s="2">
        <f>IF(EVALUADOR!Y92="","",EVALUADOR!Y92)</f>
        <v/>
      </c>
      <c r="K92" s="2">
        <f>IF(OR(J92="ALERTA FUERTE",J92="ALERTA MEDIA"),"PENDIENTE","-")</f>
        <v/>
      </c>
      <c r="L92" s="13">
        <f>IF(MOTOR!T92="","",MOTOR!O92)</f>
        <v/>
      </c>
      <c r="M92" s="13">
        <f>IF(MOTOR!T92="","",MOTOR!Q92)</f>
        <v/>
      </c>
      <c r="N92" s="13">
        <f>IF(MOTOR!T92="","",MOTOR!R92)</f>
        <v/>
      </c>
      <c r="O92" s="13">
        <f>IF(MOTOR!T92="","",MOTOR!S92)</f>
        <v/>
      </c>
    </row>
    <row r="93">
      <c r="A93" s="2">
        <f>IF(EVALUADOR!Y93="","",EVALUADOR!B93)</f>
        <v/>
      </c>
      <c r="B93" s="2">
        <f>IF(EVALUADOR!Y93="","",EVALUADOR!E93)</f>
        <v/>
      </c>
      <c r="C93" s="2">
        <f>IF(EVALUADOR!Y93="","",EVALUADOR!F93)</f>
        <v/>
      </c>
      <c r="D93" s="2">
        <f>IF(EVALUADOR!Y93="","",EVALUADOR!G93)</f>
        <v/>
      </c>
      <c r="E93" s="6">
        <f>IF(EVALUADOR!Y93="","",EVALUADOR!H93)</f>
        <v/>
      </c>
      <c r="F93" s="7">
        <f>IF(EVALUADOR!Y93="","",EVALUADOR!S93)</f>
        <v/>
      </c>
      <c r="G93" s="7">
        <f>IF(EVALUADOR!Y93="","",EVALUADOR!V93)</f>
        <v/>
      </c>
      <c r="H93" s="2">
        <f>IF(EVALUADOR!Y93="","",EVALUADOR!W93)</f>
        <v/>
      </c>
      <c r="I93" s="2">
        <f>IF(EVALUADOR!Y93="","",EVALUADOR!X93)</f>
        <v/>
      </c>
      <c r="J93" s="2">
        <f>IF(EVALUADOR!Y93="","",EVALUADOR!Y93)</f>
        <v/>
      </c>
      <c r="K93" s="2">
        <f>IF(OR(J93="ALERTA FUERTE",J93="ALERTA MEDIA"),"PENDIENTE","-")</f>
        <v/>
      </c>
      <c r="L93" s="13">
        <f>IF(MOTOR!T93="","",MOTOR!O93)</f>
        <v/>
      </c>
      <c r="M93" s="13">
        <f>IF(MOTOR!T93="","",MOTOR!Q93)</f>
        <v/>
      </c>
      <c r="N93" s="13">
        <f>IF(MOTOR!T93="","",MOTOR!R93)</f>
        <v/>
      </c>
      <c r="O93" s="13">
        <f>IF(MOTOR!T93="","",MOTOR!S93)</f>
        <v/>
      </c>
    </row>
    <row r="94">
      <c r="A94" s="2">
        <f>IF(EVALUADOR!Y94="","",EVALUADOR!B94)</f>
        <v/>
      </c>
      <c r="B94" s="2">
        <f>IF(EVALUADOR!Y94="","",EVALUADOR!E94)</f>
        <v/>
      </c>
      <c r="C94" s="2">
        <f>IF(EVALUADOR!Y94="","",EVALUADOR!F94)</f>
        <v/>
      </c>
      <c r="D94" s="2">
        <f>IF(EVALUADOR!Y94="","",EVALUADOR!G94)</f>
        <v/>
      </c>
      <c r="E94" s="6">
        <f>IF(EVALUADOR!Y94="","",EVALUADOR!H94)</f>
        <v/>
      </c>
      <c r="F94" s="7">
        <f>IF(EVALUADOR!Y94="","",EVALUADOR!S94)</f>
        <v/>
      </c>
      <c r="G94" s="7">
        <f>IF(EVALUADOR!Y94="","",EVALUADOR!V94)</f>
        <v/>
      </c>
      <c r="H94" s="2">
        <f>IF(EVALUADOR!Y94="","",EVALUADOR!W94)</f>
        <v/>
      </c>
      <c r="I94" s="2">
        <f>IF(EVALUADOR!Y94="","",EVALUADOR!X94)</f>
        <v/>
      </c>
      <c r="J94" s="2">
        <f>IF(EVALUADOR!Y94="","",EVALUADOR!Y94)</f>
        <v/>
      </c>
      <c r="K94" s="2">
        <f>IF(OR(J94="ALERTA FUERTE",J94="ALERTA MEDIA"),"PENDIENTE","-")</f>
        <v/>
      </c>
      <c r="L94" s="13">
        <f>IF(MOTOR!T94="","",MOTOR!O94)</f>
        <v/>
      </c>
      <c r="M94" s="13">
        <f>IF(MOTOR!T94="","",MOTOR!Q94)</f>
        <v/>
      </c>
      <c r="N94" s="13">
        <f>IF(MOTOR!T94="","",MOTOR!R94)</f>
        <v/>
      </c>
      <c r="O94" s="13">
        <f>IF(MOTOR!T94="","",MOTOR!S94)</f>
        <v/>
      </c>
    </row>
    <row r="95">
      <c r="A95" s="2">
        <f>IF(EVALUADOR!Y95="","",EVALUADOR!B95)</f>
        <v/>
      </c>
      <c r="B95" s="2">
        <f>IF(EVALUADOR!Y95="","",EVALUADOR!E95)</f>
        <v/>
      </c>
      <c r="C95" s="2">
        <f>IF(EVALUADOR!Y95="","",EVALUADOR!F95)</f>
        <v/>
      </c>
      <c r="D95" s="2">
        <f>IF(EVALUADOR!Y95="","",EVALUADOR!G95)</f>
        <v/>
      </c>
      <c r="E95" s="6">
        <f>IF(EVALUADOR!Y95="","",EVALUADOR!H95)</f>
        <v/>
      </c>
      <c r="F95" s="7">
        <f>IF(EVALUADOR!Y95="","",EVALUADOR!S95)</f>
        <v/>
      </c>
      <c r="G95" s="7">
        <f>IF(EVALUADOR!Y95="","",EVALUADOR!V95)</f>
        <v/>
      </c>
      <c r="H95" s="2">
        <f>IF(EVALUADOR!Y95="","",EVALUADOR!W95)</f>
        <v/>
      </c>
      <c r="I95" s="2">
        <f>IF(EVALUADOR!Y95="","",EVALUADOR!X95)</f>
        <v/>
      </c>
      <c r="J95" s="2">
        <f>IF(EVALUADOR!Y95="","",EVALUADOR!Y95)</f>
        <v/>
      </c>
      <c r="K95" s="2">
        <f>IF(OR(J95="ALERTA FUERTE",J95="ALERTA MEDIA"),"PENDIENTE","-")</f>
        <v/>
      </c>
      <c r="L95" s="13">
        <f>IF(MOTOR!T95="","",MOTOR!O95)</f>
        <v/>
      </c>
      <c r="M95" s="13">
        <f>IF(MOTOR!T95="","",MOTOR!Q95)</f>
        <v/>
      </c>
      <c r="N95" s="13">
        <f>IF(MOTOR!T95="","",MOTOR!R95)</f>
        <v/>
      </c>
      <c r="O95" s="13">
        <f>IF(MOTOR!T95="","",MOTOR!S95)</f>
        <v/>
      </c>
    </row>
    <row r="96">
      <c r="A96" s="2">
        <f>IF(EVALUADOR!Y96="","",EVALUADOR!B96)</f>
        <v/>
      </c>
      <c r="B96" s="2">
        <f>IF(EVALUADOR!Y96="","",EVALUADOR!E96)</f>
        <v/>
      </c>
      <c r="C96" s="2">
        <f>IF(EVALUADOR!Y96="","",EVALUADOR!F96)</f>
        <v/>
      </c>
      <c r="D96" s="2">
        <f>IF(EVALUADOR!Y96="","",EVALUADOR!G96)</f>
        <v/>
      </c>
      <c r="E96" s="6">
        <f>IF(EVALUADOR!Y96="","",EVALUADOR!H96)</f>
        <v/>
      </c>
      <c r="F96" s="7">
        <f>IF(EVALUADOR!Y96="","",EVALUADOR!S96)</f>
        <v/>
      </c>
      <c r="G96" s="7">
        <f>IF(EVALUADOR!Y96="","",EVALUADOR!V96)</f>
        <v/>
      </c>
      <c r="H96" s="2">
        <f>IF(EVALUADOR!Y96="","",EVALUADOR!W96)</f>
        <v/>
      </c>
      <c r="I96" s="2">
        <f>IF(EVALUADOR!Y96="","",EVALUADOR!X96)</f>
        <v/>
      </c>
      <c r="J96" s="2">
        <f>IF(EVALUADOR!Y96="","",EVALUADOR!Y96)</f>
        <v/>
      </c>
      <c r="K96" s="2">
        <f>IF(OR(J96="ALERTA FUERTE",J96="ALERTA MEDIA"),"PENDIENTE","-")</f>
        <v/>
      </c>
      <c r="L96" s="13">
        <f>IF(MOTOR!T96="","",MOTOR!O96)</f>
        <v/>
      </c>
      <c r="M96" s="13">
        <f>IF(MOTOR!T96="","",MOTOR!Q96)</f>
        <v/>
      </c>
      <c r="N96" s="13">
        <f>IF(MOTOR!T96="","",MOTOR!R96)</f>
        <v/>
      </c>
      <c r="O96" s="13">
        <f>IF(MOTOR!T96="","",MOTOR!S96)</f>
        <v/>
      </c>
    </row>
    <row r="97">
      <c r="A97" s="2">
        <f>IF(EVALUADOR!Y97="","",EVALUADOR!B97)</f>
        <v/>
      </c>
      <c r="B97" s="2">
        <f>IF(EVALUADOR!Y97="","",EVALUADOR!E97)</f>
        <v/>
      </c>
      <c r="C97" s="2">
        <f>IF(EVALUADOR!Y97="","",EVALUADOR!F97)</f>
        <v/>
      </c>
      <c r="D97" s="2">
        <f>IF(EVALUADOR!Y97="","",EVALUADOR!G97)</f>
        <v/>
      </c>
      <c r="E97" s="6">
        <f>IF(EVALUADOR!Y97="","",EVALUADOR!H97)</f>
        <v/>
      </c>
      <c r="F97" s="7">
        <f>IF(EVALUADOR!Y97="","",EVALUADOR!S97)</f>
        <v/>
      </c>
      <c r="G97" s="7">
        <f>IF(EVALUADOR!Y97="","",EVALUADOR!V97)</f>
        <v/>
      </c>
      <c r="H97" s="2">
        <f>IF(EVALUADOR!Y97="","",EVALUADOR!W97)</f>
        <v/>
      </c>
      <c r="I97" s="2">
        <f>IF(EVALUADOR!Y97="","",EVALUADOR!X97)</f>
        <v/>
      </c>
      <c r="J97" s="2">
        <f>IF(EVALUADOR!Y97="","",EVALUADOR!Y97)</f>
        <v/>
      </c>
      <c r="K97" s="2">
        <f>IF(OR(J97="ALERTA FUERTE",J97="ALERTA MEDIA"),"PENDIENTE","-")</f>
        <v/>
      </c>
      <c r="L97" s="13">
        <f>IF(MOTOR!T97="","",MOTOR!O97)</f>
        <v/>
      </c>
      <c r="M97" s="13">
        <f>IF(MOTOR!T97="","",MOTOR!Q97)</f>
        <v/>
      </c>
      <c r="N97" s="13">
        <f>IF(MOTOR!T97="","",MOTOR!R97)</f>
        <v/>
      </c>
      <c r="O97" s="13">
        <f>IF(MOTOR!T97="","",MOTOR!S97)</f>
        <v/>
      </c>
    </row>
    <row r="98">
      <c r="A98" s="2">
        <f>IF(EVALUADOR!Y98="","",EVALUADOR!B98)</f>
        <v/>
      </c>
      <c r="B98" s="2">
        <f>IF(EVALUADOR!Y98="","",EVALUADOR!E98)</f>
        <v/>
      </c>
      <c r="C98" s="2">
        <f>IF(EVALUADOR!Y98="","",EVALUADOR!F98)</f>
        <v/>
      </c>
      <c r="D98" s="2">
        <f>IF(EVALUADOR!Y98="","",EVALUADOR!G98)</f>
        <v/>
      </c>
      <c r="E98" s="6">
        <f>IF(EVALUADOR!Y98="","",EVALUADOR!H98)</f>
        <v/>
      </c>
      <c r="F98" s="7">
        <f>IF(EVALUADOR!Y98="","",EVALUADOR!S98)</f>
        <v/>
      </c>
      <c r="G98" s="7">
        <f>IF(EVALUADOR!Y98="","",EVALUADOR!V98)</f>
        <v/>
      </c>
      <c r="H98" s="2">
        <f>IF(EVALUADOR!Y98="","",EVALUADOR!W98)</f>
        <v/>
      </c>
      <c r="I98" s="2">
        <f>IF(EVALUADOR!Y98="","",EVALUADOR!X98)</f>
        <v/>
      </c>
      <c r="J98" s="2">
        <f>IF(EVALUADOR!Y98="","",EVALUADOR!Y98)</f>
        <v/>
      </c>
      <c r="K98" s="2">
        <f>IF(OR(J98="ALERTA FUERTE",J98="ALERTA MEDIA"),"PENDIENTE","-")</f>
        <v/>
      </c>
      <c r="L98" s="13">
        <f>IF(MOTOR!T98="","",MOTOR!O98)</f>
        <v/>
      </c>
      <c r="M98" s="13">
        <f>IF(MOTOR!T98="","",MOTOR!Q98)</f>
        <v/>
      </c>
      <c r="N98" s="13">
        <f>IF(MOTOR!T98="","",MOTOR!R98)</f>
        <v/>
      </c>
      <c r="O98" s="13">
        <f>IF(MOTOR!T98="","",MOTOR!S98)</f>
        <v/>
      </c>
    </row>
    <row r="99">
      <c r="A99" s="2">
        <f>IF(EVALUADOR!Y99="","",EVALUADOR!B99)</f>
        <v/>
      </c>
      <c r="B99" s="2">
        <f>IF(EVALUADOR!Y99="","",EVALUADOR!E99)</f>
        <v/>
      </c>
      <c r="C99" s="2">
        <f>IF(EVALUADOR!Y99="","",EVALUADOR!F99)</f>
        <v/>
      </c>
      <c r="D99" s="2">
        <f>IF(EVALUADOR!Y99="","",EVALUADOR!G99)</f>
        <v/>
      </c>
      <c r="E99" s="6">
        <f>IF(EVALUADOR!Y99="","",EVALUADOR!H99)</f>
        <v/>
      </c>
      <c r="F99" s="7">
        <f>IF(EVALUADOR!Y99="","",EVALUADOR!S99)</f>
        <v/>
      </c>
      <c r="G99" s="7">
        <f>IF(EVALUADOR!Y99="","",EVALUADOR!V99)</f>
        <v/>
      </c>
      <c r="H99" s="2">
        <f>IF(EVALUADOR!Y99="","",EVALUADOR!W99)</f>
        <v/>
      </c>
      <c r="I99" s="2">
        <f>IF(EVALUADOR!Y99="","",EVALUADOR!X99)</f>
        <v/>
      </c>
      <c r="J99" s="2">
        <f>IF(EVALUADOR!Y99="","",EVALUADOR!Y99)</f>
        <v/>
      </c>
      <c r="K99" s="2">
        <f>IF(OR(J99="ALERTA FUERTE",J99="ALERTA MEDIA"),"PENDIENTE","-")</f>
        <v/>
      </c>
      <c r="L99" s="13">
        <f>IF(MOTOR!T99="","",MOTOR!O99)</f>
        <v/>
      </c>
      <c r="M99" s="13">
        <f>IF(MOTOR!T99="","",MOTOR!Q99)</f>
        <v/>
      </c>
      <c r="N99" s="13">
        <f>IF(MOTOR!T99="","",MOTOR!R99)</f>
        <v/>
      </c>
      <c r="O99" s="13">
        <f>IF(MOTOR!T99="","",MOTOR!S99)</f>
        <v/>
      </c>
    </row>
    <row r="100">
      <c r="A100" s="2">
        <f>IF(EVALUADOR!Y100="","",EVALUADOR!B100)</f>
        <v/>
      </c>
      <c r="B100" s="2">
        <f>IF(EVALUADOR!Y100="","",EVALUADOR!E100)</f>
        <v/>
      </c>
      <c r="C100" s="2">
        <f>IF(EVALUADOR!Y100="","",EVALUADOR!F100)</f>
        <v/>
      </c>
      <c r="D100" s="2">
        <f>IF(EVALUADOR!Y100="","",EVALUADOR!G100)</f>
        <v/>
      </c>
      <c r="E100" s="6">
        <f>IF(EVALUADOR!Y100="","",EVALUADOR!H100)</f>
        <v/>
      </c>
      <c r="F100" s="7">
        <f>IF(EVALUADOR!Y100="","",EVALUADOR!S100)</f>
        <v/>
      </c>
      <c r="G100" s="7">
        <f>IF(EVALUADOR!Y100="","",EVALUADOR!V100)</f>
        <v/>
      </c>
      <c r="H100" s="2">
        <f>IF(EVALUADOR!Y100="","",EVALUADOR!W100)</f>
        <v/>
      </c>
      <c r="I100" s="2">
        <f>IF(EVALUADOR!Y100="","",EVALUADOR!X100)</f>
        <v/>
      </c>
      <c r="J100" s="2">
        <f>IF(EVALUADOR!Y100="","",EVALUADOR!Y100)</f>
        <v/>
      </c>
      <c r="K100" s="2">
        <f>IF(OR(J100="ALERTA FUERTE",J100="ALERTA MEDIA"),"PENDIENTE","-")</f>
        <v/>
      </c>
      <c r="L100" s="13">
        <f>IF(MOTOR!T100="","",MOTOR!O100)</f>
        <v/>
      </c>
      <c r="M100" s="13">
        <f>IF(MOTOR!T100="","",MOTOR!Q100)</f>
        <v/>
      </c>
      <c r="N100" s="13">
        <f>IF(MOTOR!T100="","",MOTOR!R100)</f>
        <v/>
      </c>
      <c r="O100" s="13">
        <f>IF(MOTOR!T100="","",MOTOR!S100)</f>
        <v/>
      </c>
    </row>
    <row r="101">
      <c r="A101" s="2">
        <f>IF(EVALUADOR!Y101="","",EVALUADOR!B101)</f>
        <v/>
      </c>
      <c r="B101" s="2">
        <f>IF(EVALUADOR!Y101="","",EVALUADOR!E101)</f>
        <v/>
      </c>
      <c r="C101" s="2">
        <f>IF(EVALUADOR!Y101="","",EVALUADOR!F101)</f>
        <v/>
      </c>
      <c r="D101" s="2">
        <f>IF(EVALUADOR!Y101="","",EVALUADOR!G101)</f>
        <v/>
      </c>
      <c r="E101" s="6">
        <f>IF(EVALUADOR!Y101="","",EVALUADOR!H101)</f>
        <v/>
      </c>
      <c r="F101" s="7">
        <f>IF(EVALUADOR!Y101="","",EVALUADOR!S101)</f>
        <v/>
      </c>
      <c r="G101" s="7">
        <f>IF(EVALUADOR!Y101="","",EVALUADOR!V101)</f>
        <v/>
      </c>
      <c r="H101" s="2">
        <f>IF(EVALUADOR!Y101="","",EVALUADOR!W101)</f>
        <v/>
      </c>
      <c r="I101" s="2">
        <f>IF(EVALUADOR!Y101="","",EVALUADOR!X101)</f>
        <v/>
      </c>
      <c r="J101" s="2">
        <f>IF(EVALUADOR!Y101="","",EVALUADOR!Y101)</f>
        <v/>
      </c>
      <c r="K101" s="2">
        <f>IF(OR(J101="ALERTA FUERTE",J101="ALERTA MEDIA"),"PENDIENTE","-")</f>
        <v/>
      </c>
      <c r="L101" s="13">
        <f>IF(MOTOR!T101="","",MOTOR!O101)</f>
        <v/>
      </c>
      <c r="M101" s="13">
        <f>IF(MOTOR!T101="","",MOTOR!Q101)</f>
        <v/>
      </c>
      <c r="N101" s="13">
        <f>IF(MOTOR!T101="","",MOTOR!R101)</f>
        <v/>
      </c>
      <c r="O101" s="13">
        <f>IF(MOTOR!T101="","",MOTOR!S101)</f>
        <v/>
      </c>
    </row>
  </sheetData>
  <autoFilter ref="A1:K101"/>
  <conditionalFormatting sqref="J2:J101">
    <cfRule type="expression" priority="1" dxfId="0">
      <formula>J2="ALERTA FUERTE"</formula>
    </cfRule>
    <cfRule type="expression" priority="2" dxfId="1">
      <formula>J2="ALERTA MEDIA"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40" customWidth="1" min="10" max="10"/>
  </cols>
  <sheetData>
    <row r="1">
      <c r="A1" s="8" t="inlineStr">
        <is>
          <t>FECHA</t>
        </is>
      </c>
      <c r="B1" s="8" t="inlineStr">
        <is>
          <t>PARTIDO</t>
        </is>
      </c>
      <c r="C1" s="8" t="inlineStr">
        <is>
          <t>MERCADO</t>
        </is>
      </c>
      <c r="D1" s="8" t="inlineStr">
        <is>
          <t>SELECCIÓN</t>
        </is>
      </c>
      <c r="E1" s="8" t="inlineStr">
        <is>
          <t>CUOTA</t>
        </is>
      </c>
      <c r="F1" s="8" t="inlineStr">
        <is>
          <t>RESULTADO</t>
        </is>
      </c>
      <c r="G1" s="8" t="inlineStr">
        <is>
          <t>GANANCIA_NETA</t>
        </is>
      </c>
      <c r="H1" s="8" t="inlineStr">
        <is>
          <t>STAKE</t>
        </is>
      </c>
      <c r="I1" s="8" t="inlineStr">
        <is>
          <t>ROI</t>
        </is>
      </c>
      <c r="J1" s="8" t="inlineStr">
        <is>
          <t>OBSERVACIÓN</t>
        </is>
      </c>
    </row>
    <row r="2">
      <c r="A2" s="2" t="n"/>
      <c r="B2" s="2" t="n"/>
      <c r="C2" s="2" t="n"/>
      <c r="D2" s="2" t="n"/>
      <c r="E2" s="6" t="n"/>
      <c r="F2" s="2" t="n"/>
      <c r="G2" s="2">
        <f>IF(F2="","",IF(F2="GANADA",H2*(E2-1),IF(F2="PERDIDA",-H2,0)))</f>
        <v/>
      </c>
      <c r="H2" s="2" t="n"/>
      <c r="I2" s="7">
        <f>IFERROR(G2/H2,"")</f>
        <v/>
      </c>
      <c r="J2" s="2" t="n"/>
    </row>
    <row r="3">
      <c r="A3" s="2" t="n"/>
      <c r="B3" s="2" t="n"/>
      <c r="C3" s="2" t="n"/>
      <c r="D3" s="2" t="n"/>
      <c r="E3" s="6" t="n"/>
      <c r="F3" s="2" t="n"/>
      <c r="G3" s="2">
        <f>IF(F3="","",IF(F3="GANADA",H3*(E3-1),IF(F3="PERDIDA",-H3,0)))</f>
        <v/>
      </c>
      <c r="H3" s="2" t="n"/>
      <c r="I3" s="7">
        <f>IFERROR(G3/H3,"")</f>
        <v/>
      </c>
      <c r="J3" s="2" t="n"/>
    </row>
    <row r="4">
      <c r="A4" s="2" t="n"/>
      <c r="B4" s="2" t="n"/>
      <c r="C4" s="2" t="n"/>
      <c r="D4" s="2" t="n"/>
      <c r="E4" s="6" t="n"/>
      <c r="F4" s="2" t="n"/>
      <c r="G4" s="2">
        <f>IF(F4="","",IF(F4="GANADA",H4*(E4-1),IF(F4="PERDIDA",-H4,0)))</f>
        <v/>
      </c>
      <c r="H4" s="2" t="n"/>
      <c r="I4" s="7">
        <f>IFERROR(G4/H4,"")</f>
        <v/>
      </c>
      <c r="J4" s="2" t="n"/>
    </row>
    <row r="5">
      <c r="A5" s="2" t="n"/>
      <c r="B5" s="2" t="n"/>
      <c r="C5" s="2" t="n"/>
      <c r="D5" s="2" t="n"/>
      <c r="E5" s="6" t="n"/>
      <c r="F5" s="2" t="n"/>
      <c r="G5" s="2">
        <f>IF(F5="","",IF(F5="GANADA",H5*(E5-1),IF(F5="PERDIDA",-H5,0)))</f>
        <v/>
      </c>
      <c r="H5" s="2" t="n"/>
      <c r="I5" s="7">
        <f>IFERROR(G5/H5,"")</f>
        <v/>
      </c>
      <c r="J5" s="2" t="n"/>
    </row>
    <row r="6">
      <c r="A6" s="2" t="n"/>
      <c r="B6" s="2" t="n"/>
      <c r="C6" s="2" t="n"/>
      <c r="D6" s="2" t="n"/>
      <c r="E6" s="6" t="n"/>
      <c r="F6" s="2" t="n"/>
      <c r="G6" s="2">
        <f>IF(F6="","",IF(F6="GANADA",H6*(E6-1),IF(F6="PERDIDA",-H6,0)))</f>
        <v/>
      </c>
      <c r="H6" s="2" t="n"/>
      <c r="I6" s="7">
        <f>IFERROR(G6/H6,"")</f>
        <v/>
      </c>
      <c r="J6" s="2" t="n"/>
    </row>
    <row r="7">
      <c r="A7" s="2" t="n"/>
      <c r="B7" s="2" t="n"/>
      <c r="C7" s="2" t="n"/>
      <c r="D7" s="2" t="n"/>
      <c r="E7" s="6" t="n"/>
      <c r="F7" s="2" t="n"/>
      <c r="G7" s="2">
        <f>IF(F7="","",IF(F7="GANADA",H7*(E7-1),IF(F7="PERDIDA",-H7,0)))</f>
        <v/>
      </c>
      <c r="H7" s="2" t="n"/>
      <c r="I7" s="7">
        <f>IFERROR(G7/H7,"")</f>
        <v/>
      </c>
      <c r="J7" s="2" t="n"/>
    </row>
    <row r="8">
      <c r="A8" s="2" t="n"/>
      <c r="B8" s="2" t="n"/>
      <c r="C8" s="2" t="n"/>
      <c r="D8" s="2" t="n"/>
      <c r="E8" s="6" t="n"/>
      <c r="F8" s="2" t="n"/>
      <c r="G8" s="2">
        <f>IF(F8="","",IF(F8="GANADA",H8*(E8-1),IF(F8="PERDIDA",-H8,0)))</f>
        <v/>
      </c>
      <c r="H8" s="2" t="n"/>
      <c r="I8" s="7">
        <f>IFERROR(G8/H8,"")</f>
        <v/>
      </c>
      <c r="J8" s="2" t="n"/>
    </row>
    <row r="9">
      <c r="A9" s="2" t="n"/>
      <c r="B9" s="2" t="n"/>
      <c r="C9" s="2" t="n"/>
      <c r="D9" s="2" t="n"/>
      <c r="E9" s="6" t="n"/>
      <c r="F9" s="2" t="n"/>
      <c r="G9" s="2">
        <f>IF(F9="","",IF(F9="GANADA",H9*(E9-1),IF(F9="PERDIDA",-H9,0)))</f>
        <v/>
      </c>
      <c r="H9" s="2" t="n"/>
      <c r="I9" s="7">
        <f>IFERROR(G9/H9,"")</f>
        <v/>
      </c>
      <c r="J9" s="2" t="n"/>
    </row>
    <row r="10">
      <c r="A10" s="2" t="n"/>
      <c r="B10" s="2" t="n"/>
      <c r="C10" s="2" t="n"/>
      <c r="D10" s="2" t="n"/>
      <c r="E10" s="6" t="n"/>
      <c r="F10" s="2" t="n"/>
      <c r="G10" s="2">
        <f>IF(F10="","",IF(F10="GANADA",H10*(E10-1),IF(F10="PERDIDA",-H10,0)))</f>
        <v/>
      </c>
      <c r="H10" s="2" t="n"/>
      <c r="I10" s="7">
        <f>IFERROR(G10/H10,"")</f>
        <v/>
      </c>
      <c r="J10" s="2" t="n"/>
    </row>
    <row r="11">
      <c r="A11" s="2" t="n"/>
      <c r="B11" s="2" t="n"/>
      <c r="C11" s="2" t="n"/>
      <c r="D11" s="2" t="n"/>
      <c r="E11" s="6" t="n"/>
      <c r="F11" s="2" t="n"/>
      <c r="G11" s="2">
        <f>IF(F11="","",IF(F11="GANADA",H11*(E11-1),IF(F11="PERDIDA",-H11,0)))</f>
        <v/>
      </c>
      <c r="H11" s="2" t="n"/>
      <c r="I11" s="7">
        <f>IFERROR(G11/H11,"")</f>
        <v/>
      </c>
      <c r="J11" s="2" t="n"/>
    </row>
    <row r="12">
      <c r="A12" s="2" t="n"/>
      <c r="B12" s="2" t="n"/>
      <c r="C12" s="2" t="n"/>
      <c r="D12" s="2" t="n"/>
      <c r="E12" s="6" t="n"/>
      <c r="F12" s="2" t="n"/>
      <c r="G12" s="2">
        <f>IF(F12="","",IF(F12="GANADA",H12*(E12-1),IF(F12="PERDIDA",-H12,0)))</f>
        <v/>
      </c>
      <c r="H12" s="2" t="n"/>
      <c r="I12" s="7">
        <f>IFERROR(G12/H12,"")</f>
        <v/>
      </c>
      <c r="J12" s="2" t="n"/>
    </row>
    <row r="13">
      <c r="A13" s="2" t="n"/>
      <c r="B13" s="2" t="n"/>
      <c r="C13" s="2" t="n"/>
      <c r="D13" s="2" t="n"/>
      <c r="E13" s="6" t="n"/>
      <c r="F13" s="2" t="n"/>
      <c r="G13" s="2">
        <f>IF(F13="","",IF(F13="GANADA",H13*(E13-1),IF(F13="PERDIDA",-H13,0)))</f>
        <v/>
      </c>
      <c r="H13" s="2" t="n"/>
      <c r="I13" s="7">
        <f>IFERROR(G13/H13,"")</f>
        <v/>
      </c>
      <c r="J13" s="2" t="n"/>
    </row>
    <row r="14">
      <c r="A14" s="2" t="n"/>
      <c r="B14" s="2" t="n"/>
      <c r="C14" s="2" t="n"/>
      <c r="D14" s="2" t="n"/>
      <c r="E14" s="6" t="n"/>
      <c r="F14" s="2" t="n"/>
      <c r="G14" s="2">
        <f>IF(F14="","",IF(F14="GANADA",H14*(E14-1),IF(F14="PERDIDA",-H14,0)))</f>
        <v/>
      </c>
      <c r="H14" s="2" t="n"/>
      <c r="I14" s="7">
        <f>IFERROR(G14/H14,"")</f>
        <v/>
      </c>
      <c r="J14" s="2" t="n"/>
    </row>
    <row r="15">
      <c r="A15" s="2" t="n"/>
      <c r="B15" s="2" t="n"/>
      <c r="C15" s="2" t="n"/>
      <c r="D15" s="2" t="n"/>
      <c r="E15" s="6" t="n"/>
      <c r="F15" s="2" t="n"/>
      <c r="G15" s="2">
        <f>IF(F15="","",IF(F15="GANADA",H15*(E15-1),IF(F15="PERDIDA",-H15,0)))</f>
        <v/>
      </c>
      <c r="H15" s="2" t="n"/>
      <c r="I15" s="7">
        <f>IFERROR(G15/H15,"")</f>
        <v/>
      </c>
      <c r="J15" s="2" t="n"/>
    </row>
    <row r="16">
      <c r="A16" s="2" t="n"/>
      <c r="B16" s="2" t="n"/>
      <c r="C16" s="2" t="n"/>
      <c r="D16" s="2" t="n"/>
      <c r="E16" s="6" t="n"/>
      <c r="F16" s="2" t="n"/>
      <c r="G16" s="2">
        <f>IF(F16="","",IF(F16="GANADA",H16*(E16-1),IF(F16="PERDIDA",-H16,0)))</f>
        <v/>
      </c>
      <c r="H16" s="2" t="n"/>
      <c r="I16" s="7">
        <f>IFERROR(G16/H16,"")</f>
        <v/>
      </c>
      <c r="J16" s="2" t="n"/>
    </row>
    <row r="17">
      <c r="A17" s="2" t="n"/>
      <c r="B17" s="2" t="n"/>
      <c r="C17" s="2" t="n"/>
      <c r="D17" s="2" t="n"/>
      <c r="E17" s="6" t="n"/>
      <c r="F17" s="2" t="n"/>
      <c r="G17" s="2">
        <f>IF(F17="","",IF(F17="GANADA",H17*(E17-1),IF(F17="PERDIDA",-H17,0)))</f>
        <v/>
      </c>
      <c r="H17" s="2" t="n"/>
      <c r="I17" s="7">
        <f>IFERROR(G17/H17,"")</f>
        <v/>
      </c>
      <c r="J17" s="2" t="n"/>
    </row>
    <row r="18">
      <c r="A18" s="2" t="n"/>
      <c r="B18" s="2" t="n"/>
      <c r="C18" s="2" t="n"/>
      <c r="D18" s="2" t="n"/>
      <c r="E18" s="6" t="n"/>
      <c r="F18" s="2" t="n"/>
      <c r="G18" s="2">
        <f>IF(F18="","",IF(F18="GANADA",H18*(E18-1),IF(F18="PERDIDA",-H18,0)))</f>
        <v/>
      </c>
      <c r="H18" s="2" t="n"/>
      <c r="I18" s="7">
        <f>IFERROR(G18/H18,"")</f>
        <v/>
      </c>
      <c r="J18" s="2" t="n"/>
    </row>
    <row r="19">
      <c r="A19" s="2" t="n"/>
      <c r="B19" s="2" t="n"/>
      <c r="C19" s="2" t="n"/>
      <c r="D19" s="2" t="n"/>
      <c r="E19" s="6" t="n"/>
      <c r="F19" s="2" t="n"/>
      <c r="G19" s="2">
        <f>IF(F19="","",IF(F19="GANADA",H19*(E19-1),IF(F19="PERDIDA",-H19,0)))</f>
        <v/>
      </c>
      <c r="H19" s="2" t="n"/>
      <c r="I19" s="7">
        <f>IFERROR(G19/H19,"")</f>
        <v/>
      </c>
      <c r="J19" s="2" t="n"/>
    </row>
    <row r="20">
      <c r="A20" s="2" t="n"/>
      <c r="B20" s="2" t="n"/>
      <c r="C20" s="2" t="n"/>
      <c r="D20" s="2" t="n"/>
      <c r="E20" s="6" t="n"/>
      <c r="F20" s="2" t="n"/>
      <c r="G20" s="2">
        <f>IF(F20="","",IF(F20="GANADA",H20*(E20-1),IF(F20="PERDIDA",-H20,0)))</f>
        <v/>
      </c>
      <c r="H20" s="2" t="n"/>
      <c r="I20" s="7">
        <f>IFERROR(G20/H20,"")</f>
        <v/>
      </c>
      <c r="J20" s="2" t="n"/>
    </row>
    <row r="21">
      <c r="A21" s="2" t="n"/>
      <c r="B21" s="2" t="n"/>
      <c r="C21" s="2" t="n"/>
      <c r="D21" s="2" t="n"/>
      <c r="E21" s="6" t="n"/>
      <c r="F21" s="2" t="n"/>
      <c r="G21" s="2">
        <f>IF(F21="","",IF(F21="GANADA",H21*(E21-1),IF(F21="PERDIDA",-H21,0)))</f>
        <v/>
      </c>
      <c r="H21" s="2" t="n"/>
      <c r="I21" s="7">
        <f>IFERROR(G21/H21,"")</f>
        <v/>
      </c>
      <c r="J21" s="2" t="n"/>
    </row>
    <row r="22">
      <c r="A22" s="2" t="n"/>
      <c r="B22" s="2" t="n"/>
      <c r="C22" s="2" t="n"/>
      <c r="D22" s="2" t="n"/>
      <c r="E22" s="6" t="n"/>
      <c r="F22" s="2" t="n"/>
      <c r="G22" s="2">
        <f>IF(F22="","",IF(F22="GANADA",H22*(E22-1),IF(F22="PERDIDA",-H22,0)))</f>
        <v/>
      </c>
      <c r="H22" s="2" t="n"/>
      <c r="I22" s="7">
        <f>IFERROR(G22/H22,"")</f>
        <v/>
      </c>
      <c r="J22" s="2" t="n"/>
    </row>
    <row r="23">
      <c r="A23" s="2" t="n"/>
      <c r="B23" s="2" t="n"/>
      <c r="C23" s="2" t="n"/>
      <c r="D23" s="2" t="n"/>
      <c r="E23" s="6" t="n"/>
      <c r="F23" s="2" t="n"/>
      <c r="G23" s="2">
        <f>IF(F23="","",IF(F23="GANADA",H23*(E23-1),IF(F23="PERDIDA",-H23,0)))</f>
        <v/>
      </c>
      <c r="H23" s="2" t="n"/>
      <c r="I23" s="7">
        <f>IFERROR(G23/H23,"")</f>
        <v/>
      </c>
      <c r="J23" s="2" t="n"/>
    </row>
    <row r="24">
      <c r="A24" s="2" t="n"/>
      <c r="B24" s="2" t="n"/>
      <c r="C24" s="2" t="n"/>
      <c r="D24" s="2" t="n"/>
      <c r="E24" s="6" t="n"/>
      <c r="F24" s="2" t="n"/>
      <c r="G24" s="2">
        <f>IF(F24="","",IF(F24="GANADA",H24*(E24-1),IF(F24="PERDIDA",-H24,0)))</f>
        <v/>
      </c>
      <c r="H24" s="2" t="n"/>
      <c r="I24" s="7">
        <f>IFERROR(G24/H24,"")</f>
        <v/>
      </c>
      <c r="J24" s="2" t="n"/>
    </row>
    <row r="25">
      <c r="A25" s="2" t="n"/>
      <c r="B25" s="2" t="n"/>
      <c r="C25" s="2" t="n"/>
      <c r="D25" s="2" t="n"/>
      <c r="E25" s="6" t="n"/>
      <c r="F25" s="2" t="n"/>
      <c r="G25" s="2">
        <f>IF(F25="","",IF(F25="GANADA",H25*(E25-1),IF(F25="PERDIDA",-H25,0)))</f>
        <v/>
      </c>
      <c r="H25" s="2" t="n"/>
      <c r="I25" s="7">
        <f>IFERROR(G25/H25,"")</f>
        <v/>
      </c>
      <c r="J25" s="2" t="n"/>
    </row>
    <row r="26">
      <c r="A26" s="2" t="n"/>
      <c r="B26" s="2" t="n"/>
      <c r="C26" s="2" t="n"/>
      <c r="D26" s="2" t="n"/>
      <c r="E26" s="6" t="n"/>
      <c r="F26" s="2" t="n"/>
      <c r="G26" s="2">
        <f>IF(F26="","",IF(F26="GANADA",H26*(E26-1),IF(F26="PERDIDA",-H26,0)))</f>
        <v/>
      </c>
      <c r="H26" s="2" t="n"/>
      <c r="I26" s="7">
        <f>IFERROR(G26/H26,"")</f>
        <v/>
      </c>
      <c r="J26" s="2" t="n"/>
    </row>
    <row r="27">
      <c r="A27" s="2" t="n"/>
      <c r="B27" s="2" t="n"/>
      <c r="C27" s="2" t="n"/>
      <c r="D27" s="2" t="n"/>
      <c r="E27" s="6" t="n"/>
      <c r="F27" s="2" t="n"/>
      <c r="G27" s="2">
        <f>IF(F27="","",IF(F27="GANADA",H27*(E27-1),IF(F27="PERDIDA",-H27,0)))</f>
        <v/>
      </c>
      <c r="H27" s="2" t="n"/>
      <c r="I27" s="7">
        <f>IFERROR(G27/H27,"")</f>
        <v/>
      </c>
      <c r="J27" s="2" t="n"/>
    </row>
    <row r="28">
      <c r="A28" s="2" t="n"/>
      <c r="B28" s="2" t="n"/>
      <c r="C28" s="2" t="n"/>
      <c r="D28" s="2" t="n"/>
      <c r="E28" s="6" t="n"/>
      <c r="F28" s="2" t="n"/>
      <c r="G28" s="2">
        <f>IF(F28="","",IF(F28="GANADA",H28*(E28-1),IF(F28="PERDIDA",-H28,0)))</f>
        <v/>
      </c>
      <c r="H28" s="2" t="n"/>
      <c r="I28" s="7">
        <f>IFERROR(G28/H28,"")</f>
        <v/>
      </c>
      <c r="J28" s="2" t="n"/>
    </row>
    <row r="29">
      <c r="A29" s="2" t="n"/>
      <c r="B29" s="2" t="n"/>
      <c r="C29" s="2" t="n"/>
      <c r="D29" s="2" t="n"/>
      <c r="E29" s="6" t="n"/>
      <c r="F29" s="2" t="n"/>
      <c r="G29" s="2">
        <f>IF(F29="","",IF(F29="GANADA",H29*(E29-1),IF(F29="PERDIDA",-H29,0)))</f>
        <v/>
      </c>
      <c r="H29" s="2" t="n"/>
      <c r="I29" s="7">
        <f>IFERROR(G29/H29,"")</f>
        <v/>
      </c>
      <c r="J29" s="2" t="n"/>
    </row>
    <row r="30">
      <c r="A30" s="2" t="n"/>
      <c r="B30" s="2" t="n"/>
      <c r="C30" s="2" t="n"/>
      <c r="D30" s="2" t="n"/>
      <c r="E30" s="6" t="n"/>
      <c r="F30" s="2" t="n"/>
      <c r="G30" s="2">
        <f>IF(F30="","",IF(F30="GANADA",H30*(E30-1),IF(F30="PERDIDA",-H30,0)))</f>
        <v/>
      </c>
      <c r="H30" s="2" t="n"/>
      <c r="I30" s="7">
        <f>IFERROR(G30/H30,"")</f>
        <v/>
      </c>
      <c r="J30" s="2" t="n"/>
    </row>
    <row r="31">
      <c r="A31" s="2" t="n"/>
      <c r="B31" s="2" t="n"/>
      <c r="C31" s="2" t="n"/>
      <c r="D31" s="2" t="n"/>
      <c r="E31" s="6" t="n"/>
      <c r="F31" s="2" t="n"/>
      <c r="G31" s="2">
        <f>IF(F31="","",IF(F31="GANADA",H31*(E31-1),IF(F31="PERDIDA",-H31,0)))</f>
        <v/>
      </c>
      <c r="H31" s="2" t="n"/>
      <c r="I31" s="7">
        <f>IFERROR(G31/H31,"")</f>
        <v/>
      </c>
      <c r="J31" s="2" t="n"/>
    </row>
    <row r="32">
      <c r="A32" s="2" t="n"/>
      <c r="B32" s="2" t="n"/>
      <c r="C32" s="2" t="n"/>
      <c r="D32" s="2" t="n"/>
      <c r="E32" s="6" t="n"/>
      <c r="F32" s="2" t="n"/>
      <c r="G32" s="2">
        <f>IF(F32="","",IF(F32="GANADA",H32*(E32-1),IF(F32="PERDIDA",-H32,0)))</f>
        <v/>
      </c>
      <c r="H32" s="2" t="n"/>
      <c r="I32" s="7">
        <f>IFERROR(G32/H32,"")</f>
        <v/>
      </c>
      <c r="J32" s="2" t="n"/>
    </row>
    <row r="33">
      <c r="A33" s="2" t="n"/>
      <c r="B33" s="2" t="n"/>
      <c r="C33" s="2" t="n"/>
      <c r="D33" s="2" t="n"/>
      <c r="E33" s="6" t="n"/>
      <c r="F33" s="2" t="n"/>
      <c r="G33" s="2">
        <f>IF(F33="","",IF(F33="GANADA",H33*(E33-1),IF(F33="PERDIDA",-H33,0)))</f>
        <v/>
      </c>
      <c r="H33" s="2" t="n"/>
      <c r="I33" s="7">
        <f>IFERROR(G33/H33,"")</f>
        <v/>
      </c>
      <c r="J33" s="2" t="n"/>
    </row>
    <row r="34">
      <c r="A34" s="2" t="n"/>
      <c r="B34" s="2" t="n"/>
      <c r="C34" s="2" t="n"/>
      <c r="D34" s="2" t="n"/>
      <c r="E34" s="6" t="n"/>
      <c r="F34" s="2" t="n"/>
      <c r="G34" s="2">
        <f>IF(F34="","",IF(F34="GANADA",H34*(E34-1),IF(F34="PERDIDA",-H34,0)))</f>
        <v/>
      </c>
      <c r="H34" s="2" t="n"/>
      <c r="I34" s="7">
        <f>IFERROR(G34/H34,"")</f>
        <v/>
      </c>
      <c r="J34" s="2" t="n"/>
    </row>
    <row r="35">
      <c r="A35" s="2" t="n"/>
      <c r="B35" s="2" t="n"/>
      <c r="C35" s="2" t="n"/>
      <c r="D35" s="2" t="n"/>
      <c r="E35" s="6" t="n"/>
      <c r="F35" s="2" t="n"/>
      <c r="G35" s="2">
        <f>IF(F35="","",IF(F35="GANADA",H35*(E35-1),IF(F35="PERDIDA",-H35,0)))</f>
        <v/>
      </c>
      <c r="H35" s="2" t="n"/>
      <c r="I35" s="7">
        <f>IFERROR(G35/H35,"")</f>
        <v/>
      </c>
      <c r="J35" s="2" t="n"/>
    </row>
    <row r="36">
      <c r="A36" s="2" t="n"/>
      <c r="B36" s="2" t="n"/>
      <c r="C36" s="2" t="n"/>
      <c r="D36" s="2" t="n"/>
      <c r="E36" s="6" t="n"/>
      <c r="F36" s="2" t="n"/>
      <c r="G36" s="2">
        <f>IF(F36="","",IF(F36="GANADA",H36*(E36-1),IF(F36="PERDIDA",-H36,0)))</f>
        <v/>
      </c>
      <c r="H36" s="2" t="n"/>
      <c r="I36" s="7">
        <f>IFERROR(G36/H36,"")</f>
        <v/>
      </c>
      <c r="J36" s="2" t="n"/>
    </row>
    <row r="37">
      <c r="A37" s="2" t="n"/>
      <c r="B37" s="2" t="n"/>
      <c r="C37" s="2" t="n"/>
      <c r="D37" s="2" t="n"/>
      <c r="E37" s="6" t="n"/>
      <c r="F37" s="2" t="n"/>
      <c r="G37" s="2">
        <f>IF(F37="","",IF(F37="GANADA",H37*(E37-1),IF(F37="PERDIDA",-H37,0)))</f>
        <v/>
      </c>
      <c r="H37" s="2" t="n"/>
      <c r="I37" s="7">
        <f>IFERROR(G37/H37,"")</f>
        <v/>
      </c>
      <c r="J37" s="2" t="n"/>
    </row>
    <row r="38">
      <c r="A38" s="2" t="n"/>
      <c r="B38" s="2" t="n"/>
      <c r="C38" s="2" t="n"/>
      <c r="D38" s="2" t="n"/>
      <c r="E38" s="6" t="n"/>
      <c r="F38" s="2" t="n"/>
      <c r="G38" s="2">
        <f>IF(F38="","",IF(F38="GANADA",H38*(E38-1),IF(F38="PERDIDA",-H38,0)))</f>
        <v/>
      </c>
      <c r="H38" s="2" t="n"/>
      <c r="I38" s="7">
        <f>IFERROR(G38/H38,"")</f>
        <v/>
      </c>
      <c r="J38" s="2" t="n"/>
    </row>
    <row r="39">
      <c r="A39" s="2" t="n"/>
      <c r="B39" s="2" t="n"/>
      <c r="C39" s="2" t="n"/>
      <c r="D39" s="2" t="n"/>
      <c r="E39" s="6" t="n"/>
      <c r="F39" s="2" t="n"/>
      <c r="G39" s="2">
        <f>IF(F39="","",IF(F39="GANADA",H39*(E39-1),IF(F39="PERDIDA",-H39,0)))</f>
        <v/>
      </c>
      <c r="H39" s="2" t="n"/>
      <c r="I39" s="7">
        <f>IFERROR(G39/H39,"")</f>
        <v/>
      </c>
      <c r="J39" s="2" t="n"/>
    </row>
    <row r="40">
      <c r="A40" s="2" t="n"/>
      <c r="B40" s="2" t="n"/>
      <c r="C40" s="2" t="n"/>
      <c r="D40" s="2" t="n"/>
      <c r="E40" s="6" t="n"/>
      <c r="F40" s="2" t="n"/>
      <c r="G40" s="2">
        <f>IF(F40="","",IF(F40="GANADA",H40*(E40-1),IF(F40="PERDIDA",-H40,0)))</f>
        <v/>
      </c>
      <c r="H40" s="2" t="n"/>
      <c r="I40" s="7">
        <f>IFERROR(G40/H40,"")</f>
        <v/>
      </c>
      <c r="J40" s="2" t="n"/>
    </row>
    <row r="41">
      <c r="A41" s="2" t="n"/>
      <c r="B41" s="2" t="n"/>
      <c r="C41" s="2" t="n"/>
      <c r="D41" s="2" t="n"/>
      <c r="E41" s="6" t="n"/>
      <c r="F41" s="2" t="n"/>
      <c r="G41" s="2">
        <f>IF(F41="","",IF(F41="GANADA",H41*(E41-1),IF(F41="PERDIDA",-H41,0)))</f>
        <v/>
      </c>
      <c r="H41" s="2" t="n"/>
      <c r="I41" s="7">
        <f>IFERROR(G41/H41,"")</f>
        <v/>
      </c>
      <c r="J41" s="2" t="n"/>
    </row>
    <row r="42">
      <c r="A42" s="2" t="n"/>
      <c r="B42" s="2" t="n"/>
      <c r="C42" s="2" t="n"/>
      <c r="D42" s="2" t="n"/>
      <c r="E42" s="6" t="n"/>
      <c r="F42" s="2" t="n"/>
      <c r="G42" s="2">
        <f>IF(F42="","",IF(F42="GANADA",H42*(E42-1),IF(F42="PERDIDA",-H42,0)))</f>
        <v/>
      </c>
      <c r="H42" s="2" t="n"/>
      <c r="I42" s="7">
        <f>IFERROR(G42/H42,"")</f>
        <v/>
      </c>
      <c r="J42" s="2" t="n"/>
    </row>
    <row r="43">
      <c r="A43" s="2" t="n"/>
      <c r="B43" s="2" t="n"/>
      <c r="C43" s="2" t="n"/>
      <c r="D43" s="2" t="n"/>
      <c r="E43" s="6" t="n"/>
      <c r="F43" s="2" t="n"/>
      <c r="G43" s="2">
        <f>IF(F43="","",IF(F43="GANADA",H43*(E43-1),IF(F43="PERDIDA",-H43,0)))</f>
        <v/>
      </c>
      <c r="H43" s="2" t="n"/>
      <c r="I43" s="7">
        <f>IFERROR(G43/H43,"")</f>
        <v/>
      </c>
      <c r="J43" s="2" t="n"/>
    </row>
    <row r="44">
      <c r="A44" s="2" t="n"/>
      <c r="B44" s="2" t="n"/>
      <c r="C44" s="2" t="n"/>
      <c r="D44" s="2" t="n"/>
      <c r="E44" s="6" t="n"/>
      <c r="F44" s="2" t="n"/>
      <c r="G44" s="2">
        <f>IF(F44="","",IF(F44="GANADA",H44*(E44-1),IF(F44="PERDIDA",-H44,0)))</f>
        <v/>
      </c>
      <c r="H44" s="2" t="n"/>
      <c r="I44" s="7">
        <f>IFERROR(G44/H44,"")</f>
        <v/>
      </c>
      <c r="J44" s="2" t="n"/>
    </row>
    <row r="45">
      <c r="A45" s="2" t="n"/>
      <c r="B45" s="2" t="n"/>
      <c r="C45" s="2" t="n"/>
      <c r="D45" s="2" t="n"/>
      <c r="E45" s="6" t="n"/>
      <c r="F45" s="2" t="n"/>
      <c r="G45" s="2">
        <f>IF(F45="","",IF(F45="GANADA",H45*(E45-1),IF(F45="PERDIDA",-H45,0)))</f>
        <v/>
      </c>
      <c r="H45" s="2" t="n"/>
      <c r="I45" s="7">
        <f>IFERROR(G45/H45,"")</f>
        <v/>
      </c>
      <c r="J45" s="2" t="n"/>
    </row>
    <row r="46">
      <c r="A46" s="2" t="n"/>
      <c r="B46" s="2" t="n"/>
      <c r="C46" s="2" t="n"/>
      <c r="D46" s="2" t="n"/>
      <c r="E46" s="6" t="n"/>
      <c r="F46" s="2" t="n"/>
      <c r="G46" s="2">
        <f>IF(F46="","",IF(F46="GANADA",H46*(E46-1),IF(F46="PERDIDA",-H46,0)))</f>
        <v/>
      </c>
      <c r="H46" s="2" t="n"/>
      <c r="I46" s="7">
        <f>IFERROR(G46/H46,"")</f>
        <v/>
      </c>
      <c r="J46" s="2" t="n"/>
    </row>
    <row r="47">
      <c r="A47" s="2" t="n"/>
      <c r="B47" s="2" t="n"/>
      <c r="C47" s="2" t="n"/>
      <c r="D47" s="2" t="n"/>
      <c r="E47" s="6" t="n"/>
      <c r="F47" s="2" t="n"/>
      <c r="G47" s="2">
        <f>IF(F47="","",IF(F47="GANADA",H47*(E47-1),IF(F47="PERDIDA",-H47,0)))</f>
        <v/>
      </c>
      <c r="H47" s="2" t="n"/>
      <c r="I47" s="7">
        <f>IFERROR(G47/H47,"")</f>
        <v/>
      </c>
      <c r="J47" s="2" t="n"/>
    </row>
    <row r="48">
      <c r="A48" s="2" t="n"/>
      <c r="B48" s="2" t="n"/>
      <c r="C48" s="2" t="n"/>
      <c r="D48" s="2" t="n"/>
      <c r="E48" s="6" t="n"/>
      <c r="F48" s="2" t="n"/>
      <c r="G48" s="2">
        <f>IF(F48="","",IF(F48="GANADA",H48*(E48-1),IF(F48="PERDIDA",-H48,0)))</f>
        <v/>
      </c>
      <c r="H48" s="2" t="n"/>
      <c r="I48" s="7">
        <f>IFERROR(G48/H48,"")</f>
        <v/>
      </c>
      <c r="J48" s="2" t="n"/>
    </row>
    <row r="49">
      <c r="A49" s="2" t="n"/>
      <c r="B49" s="2" t="n"/>
      <c r="C49" s="2" t="n"/>
      <c r="D49" s="2" t="n"/>
      <c r="E49" s="6" t="n"/>
      <c r="F49" s="2" t="n"/>
      <c r="G49" s="2">
        <f>IF(F49="","",IF(F49="GANADA",H49*(E49-1),IF(F49="PERDIDA",-H49,0)))</f>
        <v/>
      </c>
      <c r="H49" s="2" t="n"/>
      <c r="I49" s="7">
        <f>IFERROR(G49/H49,"")</f>
        <v/>
      </c>
      <c r="J49" s="2" t="n"/>
    </row>
    <row r="50">
      <c r="A50" s="2" t="n"/>
      <c r="B50" s="2" t="n"/>
      <c r="C50" s="2" t="n"/>
      <c r="D50" s="2" t="n"/>
      <c r="E50" s="6" t="n"/>
      <c r="F50" s="2" t="n"/>
      <c r="G50" s="2">
        <f>IF(F50="","",IF(F50="GANADA",H50*(E50-1),IF(F50="PERDIDA",-H50,0)))</f>
        <v/>
      </c>
      <c r="H50" s="2" t="n"/>
      <c r="I50" s="7">
        <f>IFERROR(G50/H50,"")</f>
        <v/>
      </c>
      <c r="J50" s="2" t="n"/>
    </row>
    <row r="51">
      <c r="A51" s="2" t="n"/>
      <c r="B51" s="2" t="n"/>
      <c r="C51" s="2" t="n"/>
      <c r="D51" s="2" t="n"/>
      <c r="E51" s="6" t="n"/>
      <c r="F51" s="2" t="n"/>
      <c r="G51" s="2">
        <f>IF(F51="","",IF(F51="GANADA",H51*(E51-1),IF(F51="PERDIDA",-H51,0)))</f>
        <v/>
      </c>
      <c r="H51" s="2" t="n"/>
      <c r="I51" s="7">
        <f>IFERROR(G51/H51,"")</f>
        <v/>
      </c>
      <c r="J51" s="2" t="n"/>
    </row>
    <row r="52">
      <c r="A52" s="2" t="n"/>
      <c r="B52" s="2" t="n"/>
      <c r="C52" s="2" t="n"/>
      <c r="D52" s="2" t="n"/>
      <c r="E52" s="6" t="n"/>
      <c r="F52" s="2" t="n"/>
      <c r="G52" s="2">
        <f>IF(F52="","",IF(F52="GANADA",H52*(E52-1),IF(F52="PERDIDA",-H52,0)))</f>
        <v/>
      </c>
      <c r="H52" s="2" t="n"/>
      <c r="I52" s="7">
        <f>IFERROR(G52/H52,"")</f>
        <v/>
      </c>
      <c r="J52" s="2" t="n"/>
    </row>
    <row r="53">
      <c r="A53" s="2" t="n"/>
      <c r="B53" s="2" t="n"/>
      <c r="C53" s="2" t="n"/>
      <c r="D53" s="2" t="n"/>
      <c r="E53" s="6" t="n"/>
      <c r="F53" s="2" t="n"/>
      <c r="G53" s="2">
        <f>IF(F53="","",IF(F53="GANADA",H53*(E53-1),IF(F53="PERDIDA",-H53,0)))</f>
        <v/>
      </c>
      <c r="H53" s="2" t="n"/>
      <c r="I53" s="7">
        <f>IFERROR(G53/H53,"")</f>
        <v/>
      </c>
      <c r="J53" s="2" t="n"/>
    </row>
    <row r="54">
      <c r="A54" s="2" t="n"/>
      <c r="B54" s="2" t="n"/>
      <c r="C54" s="2" t="n"/>
      <c r="D54" s="2" t="n"/>
      <c r="E54" s="6" t="n"/>
      <c r="F54" s="2" t="n"/>
      <c r="G54" s="2">
        <f>IF(F54="","",IF(F54="GANADA",H54*(E54-1),IF(F54="PERDIDA",-H54,0)))</f>
        <v/>
      </c>
      <c r="H54" s="2" t="n"/>
      <c r="I54" s="7">
        <f>IFERROR(G54/H54,"")</f>
        <v/>
      </c>
      <c r="J54" s="2" t="n"/>
    </row>
    <row r="55">
      <c r="A55" s="2" t="n"/>
      <c r="B55" s="2" t="n"/>
      <c r="C55" s="2" t="n"/>
      <c r="D55" s="2" t="n"/>
      <c r="E55" s="6" t="n"/>
      <c r="F55" s="2" t="n"/>
      <c r="G55" s="2">
        <f>IF(F55="","",IF(F55="GANADA",H55*(E55-1),IF(F55="PERDIDA",-H55,0)))</f>
        <v/>
      </c>
      <c r="H55" s="2" t="n"/>
      <c r="I55" s="7">
        <f>IFERROR(G55/H55,"")</f>
        <v/>
      </c>
      <c r="J55" s="2" t="n"/>
    </row>
    <row r="56">
      <c r="A56" s="2" t="n"/>
      <c r="B56" s="2" t="n"/>
      <c r="C56" s="2" t="n"/>
      <c r="D56" s="2" t="n"/>
      <c r="E56" s="6" t="n"/>
      <c r="F56" s="2" t="n"/>
      <c r="G56" s="2">
        <f>IF(F56="","",IF(F56="GANADA",H56*(E56-1),IF(F56="PERDIDA",-H56,0)))</f>
        <v/>
      </c>
      <c r="H56" s="2" t="n"/>
      <c r="I56" s="7">
        <f>IFERROR(G56/H56,"")</f>
        <v/>
      </c>
      <c r="J56" s="2" t="n"/>
    </row>
    <row r="57">
      <c r="A57" s="2" t="n"/>
      <c r="B57" s="2" t="n"/>
      <c r="C57" s="2" t="n"/>
      <c r="D57" s="2" t="n"/>
      <c r="E57" s="6" t="n"/>
      <c r="F57" s="2" t="n"/>
      <c r="G57" s="2">
        <f>IF(F57="","",IF(F57="GANADA",H57*(E57-1),IF(F57="PERDIDA",-H57,0)))</f>
        <v/>
      </c>
      <c r="H57" s="2" t="n"/>
      <c r="I57" s="7">
        <f>IFERROR(G57/H57,"")</f>
        <v/>
      </c>
      <c r="J57" s="2" t="n"/>
    </row>
    <row r="58">
      <c r="A58" s="2" t="n"/>
      <c r="B58" s="2" t="n"/>
      <c r="C58" s="2" t="n"/>
      <c r="D58" s="2" t="n"/>
      <c r="E58" s="6" t="n"/>
      <c r="F58" s="2" t="n"/>
      <c r="G58" s="2">
        <f>IF(F58="","",IF(F58="GANADA",H58*(E58-1),IF(F58="PERDIDA",-H58,0)))</f>
        <v/>
      </c>
      <c r="H58" s="2" t="n"/>
      <c r="I58" s="7">
        <f>IFERROR(G58/H58,"")</f>
        <v/>
      </c>
      <c r="J58" s="2" t="n"/>
    </row>
    <row r="59">
      <c r="A59" s="2" t="n"/>
      <c r="B59" s="2" t="n"/>
      <c r="C59" s="2" t="n"/>
      <c r="D59" s="2" t="n"/>
      <c r="E59" s="6" t="n"/>
      <c r="F59" s="2" t="n"/>
      <c r="G59" s="2">
        <f>IF(F59="","",IF(F59="GANADA",H59*(E59-1),IF(F59="PERDIDA",-H59,0)))</f>
        <v/>
      </c>
      <c r="H59" s="2" t="n"/>
      <c r="I59" s="7">
        <f>IFERROR(G59/H59,"")</f>
        <v/>
      </c>
      <c r="J59" s="2" t="n"/>
    </row>
    <row r="60">
      <c r="A60" s="2" t="n"/>
      <c r="B60" s="2" t="n"/>
      <c r="C60" s="2" t="n"/>
      <c r="D60" s="2" t="n"/>
      <c r="E60" s="6" t="n"/>
      <c r="F60" s="2" t="n"/>
      <c r="G60" s="2">
        <f>IF(F60="","",IF(F60="GANADA",H60*(E60-1),IF(F60="PERDIDA",-H60,0)))</f>
        <v/>
      </c>
      <c r="H60" s="2" t="n"/>
      <c r="I60" s="7">
        <f>IFERROR(G60/H60,"")</f>
        <v/>
      </c>
      <c r="J60" s="2" t="n"/>
    </row>
    <row r="61">
      <c r="A61" s="2" t="n"/>
      <c r="B61" s="2" t="n"/>
      <c r="C61" s="2" t="n"/>
      <c r="D61" s="2" t="n"/>
      <c r="E61" s="6" t="n"/>
      <c r="F61" s="2" t="n"/>
      <c r="G61" s="2">
        <f>IF(F61="","",IF(F61="GANADA",H61*(E61-1),IF(F61="PERDIDA",-H61,0)))</f>
        <v/>
      </c>
      <c r="H61" s="2" t="n"/>
      <c r="I61" s="7">
        <f>IFERROR(G61/H61,"")</f>
        <v/>
      </c>
      <c r="J61" s="2" t="n"/>
    </row>
    <row r="62">
      <c r="A62" s="2" t="n"/>
      <c r="B62" s="2" t="n"/>
      <c r="C62" s="2" t="n"/>
      <c r="D62" s="2" t="n"/>
      <c r="E62" s="6" t="n"/>
      <c r="F62" s="2" t="n"/>
      <c r="G62" s="2">
        <f>IF(F62="","",IF(F62="GANADA",H62*(E62-1),IF(F62="PERDIDA",-H62,0)))</f>
        <v/>
      </c>
      <c r="H62" s="2" t="n"/>
      <c r="I62" s="7">
        <f>IFERROR(G62/H62,"")</f>
        <v/>
      </c>
      <c r="J62" s="2" t="n"/>
    </row>
    <row r="63">
      <c r="A63" s="2" t="n"/>
      <c r="B63" s="2" t="n"/>
      <c r="C63" s="2" t="n"/>
      <c r="D63" s="2" t="n"/>
      <c r="E63" s="6" t="n"/>
      <c r="F63" s="2" t="n"/>
      <c r="G63" s="2">
        <f>IF(F63="","",IF(F63="GANADA",H63*(E63-1),IF(F63="PERDIDA",-H63,0)))</f>
        <v/>
      </c>
      <c r="H63" s="2" t="n"/>
      <c r="I63" s="7">
        <f>IFERROR(G63/H63,"")</f>
        <v/>
      </c>
      <c r="J63" s="2" t="n"/>
    </row>
    <row r="64">
      <c r="A64" s="2" t="n"/>
      <c r="B64" s="2" t="n"/>
      <c r="C64" s="2" t="n"/>
      <c r="D64" s="2" t="n"/>
      <c r="E64" s="6" t="n"/>
      <c r="F64" s="2" t="n"/>
      <c r="G64" s="2">
        <f>IF(F64="","",IF(F64="GANADA",H64*(E64-1),IF(F64="PERDIDA",-H64,0)))</f>
        <v/>
      </c>
      <c r="H64" s="2" t="n"/>
      <c r="I64" s="7">
        <f>IFERROR(G64/H64,"")</f>
        <v/>
      </c>
      <c r="J64" s="2" t="n"/>
    </row>
    <row r="65">
      <c r="A65" s="2" t="n"/>
      <c r="B65" s="2" t="n"/>
      <c r="C65" s="2" t="n"/>
      <c r="D65" s="2" t="n"/>
      <c r="E65" s="6" t="n"/>
      <c r="F65" s="2" t="n"/>
      <c r="G65" s="2">
        <f>IF(F65="","",IF(F65="GANADA",H65*(E65-1),IF(F65="PERDIDA",-H65,0)))</f>
        <v/>
      </c>
      <c r="H65" s="2" t="n"/>
      <c r="I65" s="7">
        <f>IFERROR(G65/H65,"")</f>
        <v/>
      </c>
      <c r="J65" s="2" t="n"/>
    </row>
    <row r="66">
      <c r="A66" s="2" t="n"/>
      <c r="B66" s="2" t="n"/>
      <c r="C66" s="2" t="n"/>
      <c r="D66" s="2" t="n"/>
      <c r="E66" s="6" t="n"/>
      <c r="F66" s="2" t="n"/>
      <c r="G66" s="2">
        <f>IF(F66="","",IF(F66="GANADA",H66*(E66-1),IF(F66="PERDIDA",-H66,0)))</f>
        <v/>
      </c>
      <c r="H66" s="2" t="n"/>
      <c r="I66" s="7">
        <f>IFERROR(G66/H66,"")</f>
        <v/>
      </c>
      <c r="J66" s="2" t="n"/>
    </row>
    <row r="67">
      <c r="A67" s="2" t="n"/>
      <c r="B67" s="2" t="n"/>
      <c r="C67" s="2" t="n"/>
      <c r="D67" s="2" t="n"/>
      <c r="E67" s="6" t="n"/>
      <c r="F67" s="2" t="n"/>
      <c r="G67" s="2">
        <f>IF(F67="","",IF(F67="GANADA",H67*(E67-1),IF(F67="PERDIDA",-H67,0)))</f>
        <v/>
      </c>
      <c r="H67" s="2" t="n"/>
      <c r="I67" s="7">
        <f>IFERROR(G67/H67,"")</f>
        <v/>
      </c>
      <c r="J67" s="2" t="n"/>
    </row>
    <row r="68">
      <c r="A68" s="2" t="n"/>
      <c r="B68" s="2" t="n"/>
      <c r="C68" s="2" t="n"/>
      <c r="D68" s="2" t="n"/>
      <c r="E68" s="6" t="n"/>
      <c r="F68" s="2" t="n"/>
      <c r="G68" s="2">
        <f>IF(F68="","",IF(F68="GANADA",H68*(E68-1),IF(F68="PERDIDA",-H68,0)))</f>
        <v/>
      </c>
      <c r="H68" s="2" t="n"/>
      <c r="I68" s="7">
        <f>IFERROR(G68/H68,"")</f>
        <v/>
      </c>
      <c r="J68" s="2" t="n"/>
    </row>
    <row r="69">
      <c r="A69" s="2" t="n"/>
      <c r="B69" s="2" t="n"/>
      <c r="C69" s="2" t="n"/>
      <c r="D69" s="2" t="n"/>
      <c r="E69" s="6" t="n"/>
      <c r="F69" s="2" t="n"/>
      <c r="G69" s="2">
        <f>IF(F69="","",IF(F69="GANADA",H69*(E69-1),IF(F69="PERDIDA",-H69,0)))</f>
        <v/>
      </c>
      <c r="H69" s="2" t="n"/>
      <c r="I69" s="7">
        <f>IFERROR(G69/H69,"")</f>
        <v/>
      </c>
      <c r="J69" s="2" t="n"/>
    </row>
    <row r="70">
      <c r="A70" s="2" t="n"/>
      <c r="B70" s="2" t="n"/>
      <c r="C70" s="2" t="n"/>
      <c r="D70" s="2" t="n"/>
      <c r="E70" s="6" t="n"/>
      <c r="F70" s="2" t="n"/>
      <c r="G70" s="2">
        <f>IF(F70="","",IF(F70="GANADA",H70*(E70-1),IF(F70="PERDIDA",-H70,0)))</f>
        <v/>
      </c>
      <c r="H70" s="2" t="n"/>
      <c r="I70" s="7">
        <f>IFERROR(G70/H70,"")</f>
        <v/>
      </c>
      <c r="J70" s="2" t="n"/>
    </row>
    <row r="71">
      <c r="A71" s="2" t="n"/>
      <c r="B71" s="2" t="n"/>
      <c r="C71" s="2" t="n"/>
      <c r="D71" s="2" t="n"/>
      <c r="E71" s="6" t="n"/>
      <c r="F71" s="2" t="n"/>
      <c r="G71" s="2">
        <f>IF(F71="","",IF(F71="GANADA",H71*(E71-1),IF(F71="PERDIDA",-H71,0)))</f>
        <v/>
      </c>
      <c r="H71" s="2" t="n"/>
      <c r="I71" s="7">
        <f>IFERROR(G71/H71,"")</f>
        <v/>
      </c>
      <c r="J71" s="2" t="n"/>
    </row>
    <row r="72">
      <c r="A72" s="2" t="n"/>
      <c r="B72" s="2" t="n"/>
      <c r="C72" s="2" t="n"/>
      <c r="D72" s="2" t="n"/>
      <c r="E72" s="6" t="n"/>
      <c r="F72" s="2" t="n"/>
      <c r="G72" s="2">
        <f>IF(F72="","",IF(F72="GANADA",H72*(E72-1),IF(F72="PERDIDA",-H72,0)))</f>
        <v/>
      </c>
      <c r="H72" s="2" t="n"/>
      <c r="I72" s="7">
        <f>IFERROR(G72/H72,"")</f>
        <v/>
      </c>
      <c r="J72" s="2" t="n"/>
    </row>
    <row r="73">
      <c r="A73" s="2" t="n"/>
      <c r="B73" s="2" t="n"/>
      <c r="C73" s="2" t="n"/>
      <c r="D73" s="2" t="n"/>
      <c r="E73" s="6" t="n"/>
      <c r="F73" s="2" t="n"/>
      <c r="G73" s="2">
        <f>IF(F73="","",IF(F73="GANADA",H73*(E73-1),IF(F73="PERDIDA",-H73,0)))</f>
        <v/>
      </c>
      <c r="H73" s="2" t="n"/>
      <c r="I73" s="7">
        <f>IFERROR(G73/H73,"")</f>
        <v/>
      </c>
      <c r="J73" s="2" t="n"/>
    </row>
    <row r="74">
      <c r="A74" s="2" t="n"/>
      <c r="B74" s="2" t="n"/>
      <c r="C74" s="2" t="n"/>
      <c r="D74" s="2" t="n"/>
      <c r="E74" s="6" t="n"/>
      <c r="F74" s="2" t="n"/>
      <c r="G74" s="2">
        <f>IF(F74="","",IF(F74="GANADA",H74*(E74-1),IF(F74="PERDIDA",-H74,0)))</f>
        <v/>
      </c>
      <c r="H74" s="2" t="n"/>
      <c r="I74" s="7">
        <f>IFERROR(G74/H74,"")</f>
        <v/>
      </c>
      <c r="J74" s="2" t="n"/>
    </row>
    <row r="75">
      <c r="A75" s="2" t="n"/>
      <c r="B75" s="2" t="n"/>
      <c r="C75" s="2" t="n"/>
      <c r="D75" s="2" t="n"/>
      <c r="E75" s="6" t="n"/>
      <c r="F75" s="2" t="n"/>
      <c r="G75" s="2">
        <f>IF(F75="","",IF(F75="GANADA",H75*(E75-1),IF(F75="PERDIDA",-H75,0)))</f>
        <v/>
      </c>
      <c r="H75" s="2" t="n"/>
      <c r="I75" s="7">
        <f>IFERROR(G75/H75,"")</f>
        <v/>
      </c>
      <c r="J75" s="2" t="n"/>
    </row>
    <row r="76">
      <c r="A76" s="2" t="n"/>
      <c r="B76" s="2" t="n"/>
      <c r="C76" s="2" t="n"/>
      <c r="D76" s="2" t="n"/>
      <c r="E76" s="6" t="n"/>
      <c r="F76" s="2" t="n"/>
      <c r="G76" s="2">
        <f>IF(F76="","",IF(F76="GANADA",H76*(E76-1),IF(F76="PERDIDA",-H76,0)))</f>
        <v/>
      </c>
      <c r="H76" s="2" t="n"/>
      <c r="I76" s="7">
        <f>IFERROR(G76/H76,"")</f>
        <v/>
      </c>
      <c r="J76" s="2" t="n"/>
    </row>
    <row r="77">
      <c r="A77" s="2" t="n"/>
      <c r="B77" s="2" t="n"/>
      <c r="C77" s="2" t="n"/>
      <c r="D77" s="2" t="n"/>
      <c r="E77" s="6" t="n"/>
      <c r="F77" s="2" t="n"/>
      <c r="G77" s="2">
        <f>IF(F77="","",IF(F77="GANADA",H77*(E77-1),IF(F77="PERDIDA",-H77,0)))</f>
        <v/>
      </c>
      <c r="H77" s="2" t="n"/>
      <c r="I77" s="7">
        <f>IFERROR(G77/H77,"")</f>
        <v/>
      </c>
      <c r="J77" s="2" t="n"/>
    </row>
    <row r="78">
      <c r="A78" s="2" t="n"/>
      <c r="B78" s="2" t="n"/>
      <c r="C78" s="2" t="n"/>
      <c r="D78" s="2" t="n"/>
      <c r="E78" s="6" t="n"/>
      <c r="F78" s="2" t="n"/>
      <c r="G78" s="2">
        <f>IF(F78="","",IF(F78="GANADA",H78*(E78-1),IF(F78="PERDIDA",-H78,0)))</f>
        <v/>
      </c>
      <c r="H78" s="2" t="n"/>
      <c r="I78" s="7">
        <f>IFERROR(G78/H78,"")</f>
        <v/>
      </c>
      <c r="J78" s="2" t="n"/>
    </row>
    <row r="79">
      <c r="A79" s="2" t="n"/>
      <c r="B79" s="2" t="n"/>
      <c r="C79" s="2" t="n"/>
      <c r="D79" s="2" t="n"/>
      <c r="E79" s="6" t="n"/>
      <c r="F79" s="2" t="n"/>
      <c r="G79" s="2">
        <f>IF(F79="","",IF(F79="GANADA",H79*(E79-1),IF(F79="PERDIDA",-H79,0)))</f>
        <v/>
      </c>
      <c r="H79" s="2" t="n"/>
      <c r="I79" s="7">
        <f>IFERROR(G79/H79,"")</f>
        <v/>
      </c>
      <c r="J79" s="2" t="n"/>
    </row>
    <row r="80">
      <c r="A80" s="2" t="n"/>
      <c r="B80" s="2" t="n"/>
      <c r="C80" s="2" t="n"/>
      <c r="D80" s="2" t="n"/>
      <c r="E80" s="6" t="n"/>
      <c r="F80" s="2" t="n"/>
      <c r="G80" s="2">
        <f>IF(F80="","",IF(F80="GANADA",H80*(E80-1),IF(F80="PERDIDA",-H80,0)))</f>
        <v/>
      </c>
      <c r="H80" s="2" t="n"/>
      <c r="I80" s="7">
        <f>IFERROR(G80/H80,"")</f>
        <v/>
      </c>
      <c r="J80" s="2" t="n"/>
    </row>
    <row r="81">
      <c r="A81" s="2" t="n"/>
      <c r="B81" s="2" t="n"/>
      <c r="C81" s="2" t="n"/>
      <c r="D81" s="2" t="n"/>
      <c r="E81" s="6" t="n"/>
      <c r="F81" s="2" t="n"/>
      <c r="G81" s="2">
        <f>IF(F81="","",IF(F81="GANADA",H81*(E81-1),IF(F81="PERDIDA",-H81,0)))</f>
        <v/>
      </c>
      <c r="H81" s="2" t="n"/>
      <c r="I81" s="7">
        <f>IFERROR(G81/H81,"")</f>
        <v/>
      </c>
      <c r="J81" s="2" t="n"/>
    </row>
    <row r="82">
      <c r="A82" s="2" t="n"/>
      <c r="B82" s="2" t="n"/>
      <c r="C82" s="2" t="n"/>
      <c r="D82" s="2" t="n"/>
      <c r="E82" s="6" t="n"/>
      <c r="F82" s="2" t="n"/>
      <c r="G82" s="2">
        <f>IF(F82="","",IF(F82="GANADA",H82*(E82-1),IF(F82="PERDIDA",-H82,0)))</f>
        <v/>
      </c>
      <c r="H82" s="2" t="n"/>
      <c r="I82" s="7">
        <f>IFERROR(G82/H82,"")</f>
        <v/>
      </c>
      <c r="J82" s="2" t="n"/>
    </row>
    <row r="83">
      <c r="A83" s="2" t="n"/>
      <c r="B83" s="2" t="n"/>
      <c r="C83" s="2" t="n"/>
      <c r="D83" s="2" t="n"/>
      <c r="E83" s="6" t="n"/>
      <c r="F83" s="2" t="n"/>
      <c r="G83" s="2">
        <f>IF(F83="","",IF(F83="GANADA",H83*(E83-1),IF(F83="PERDIDA",-H83,0)))</f>
        <v/>
      </c>
      <c r="H83" s="2" t="n"/>
      <c r="I83" s="7">
        <f>IFERROR(G83/H83,"")</f>
        <v/>
      </c>
      <c r="J83" s="2" t="n"/>
    </row>
    <row r="84">
      <c r="A84" s="2" t="n"/>
      <c r="B84" s="2" t="n"/>
      <c r="C84" s="2" t="n"/>
      <c r="D84" s="2" t="n"/>
      <c r="E84" s="6" t="n"/>
      <c r="F84" s="2" t="n"/>
      <c r="G84" s="2">
        <f>IF(F84="","",IF(F84="GANADA",H84*(E84-1),IF(F84="PERDIDA",-H84,0)))</f>
        <v/>
      </c>
      <c r="H84" s="2" t="n"/>
      <c r="I84" s="7">
        <f>IFERROR(G84/H84,"")</f>
        <v/>
      </c>
      <c r="J84" s="2" t="n"/>
    </row>
    <row r="85">
      <c r="A85" s="2" t="n"/>
      <c r="B85" s="2" t="n"/>
      <c r="C85" s="2" t="n"/>
      <c r="D85" s="2" t="n"/>
      <c r="E85" s="6" t="n"/>
      <c r="F85" s="2" t="n"/>
      <c r="G85" s="2">
        <f>IF(F85="","",IF(F85="GANADA",H85*(E85-1),IF(F85="PERDIDA",-H85,0)))</f>
        <v/>
      </c>
      <c r="H85" s="2" t="n"/>
      <c r="I85" s="7">
        <f>IFERROR(G85/H85,"")</f>
        <v/>
      </c>
      <c r="J85" s="2" t="n"/>
    </row>
    <row r="86">
      <c r="A86" s="2" t="n"/>
      <c r="B86" s="2" t="n"/>
      <c r="C86" s="2" t="n"/>
      <c r="D86" s="2" t="n"/>
      <c r="E86" s="6" t="n"/>
      <c r="F86" s="2" t="n"/>
      <c r="G86" s="2">
        <f>IF(F86="","",IF(F86="GANADA",H86*(E86-1),IF(F86="PERDIDA",-H86,0)))</f>
        <v/>
      </c>
      <c r="H86" s="2" t="n"/>
      <c r="I86" s="7">
        <f>IFERROR(G86/H86,"")</f>
        <v/>
      </c>
      <c r="J86" s="2" t="n"/>
    </row>
    <row r="87">
      <c r="A87" s="2" t="n"/>
      <c r="B87" s="2" t="n"/>
      <c r="C87" s="2" t="n"/>
      <c r="D87" s="2" t="n"/>
      <c r="E87" s="6" t="n"/>
      <c r="F87" s="2" t="n"/>
      <c r="G87" s="2">
        <f>IF(F87="","",IF(F87="GANADA",H87*(E87-1),IF(F87="PERDIDA",-H87,0)))</f>
        <v/>
      </c>
      <c r="H87" s="2" t="n"/>
      <c r="I87" s="7">
        <f>IFERROR(G87/H87,"")</f>
        <v/>
      </c>
      <c r="J87" s="2" t="n"/>
    </row>
    <row r="88">
      <c r="A88" s="2" t="n"/>
      <c r="B88" s="2" t="n"/>
      <c r="C88" s="2" t="n"/>
      <c r="D88" s="2" t="n"/>
      <c r="E88" s="6" t="n"/>
      <c r="F88" s="2" t="n"/>
      <c r="G88" s="2">
        <f>IF(F88="","",IF(F88="GANADA",H88*(E88-1),IF(F88="PERDIDA",-H88,0)))</f>
        <v/>
      </c>
      <c r="H88" s="2" t="n"/>
      <c r="I88" s="7">
        <f>IFERROR(G88/H88,"")</f>
        <v/>
      </c>
      <c r="J88" s="2" t="n"/>
    </row>
    <row r="89">
      <c r="A89" s="2" t="n"/>
      <c r="B89" s="2" t="n"/>
      <c r="C89" s="2" t="n"/>
      <c r="D89" s="2" t="n"/>
      <c r="E89" s="6" t="n"/>
      <c r="F89" s="2" t="n"/>
      <c r="G89" s="2">
        <f>IF(F89="","",IF(F89="GANADA",H89*(E89-1),IF(F89="PERDIDA",-H89,0)))</f>
        <v/>
      </c>
      <c r="H89" s="2" t="n"/>
      <c r="I89" s="7">
        <f>IFERROR(G89/H89,"")</f>
        <v/>
      </c>
      <c r="J89" s="2" t="n"/>
    </row>
    <row r="90">
      <c r="A90" s="2" t="n"/>
      <c r="B90" s="2" t="n"/>
      <c r="C90" s="2" t="n"/>
      <c r="D90" s="2" t="n"/>
      <c r="E90" s="6" t="n"/>
      <c r="F90" s="2" t="n"/>
      <c r="G90" s="2">
        <f>IF(F90="","",IF(F90="GANADA",H90*(E90-1),IF(F90="PERDIDA",-H90,0)))</f>
        <v/>
      </c>
      <c r="H90" s="2" t="n"/>
      <c r="I90" s="7">
        <f>IFERROR(G90/H90,"")</f>
        <v/>
      </c>
      <c r="J90" s="2" t="n"/>
    </row>
    <row r="91">
      <c r="A91" s="2" t="n"/>
      <c r="B91" s="2" t="n"/>
      <c r="C91" s="2" t="n"/>
      <c r="D91" s="2" t="n"/>
      <c r="E91" s="6" t="n"/>
      <c r="F91" s="2" t="n"/>
      <c r="G91" s="2">
        <f>IF(F91="","",IF(F91="GANADA",H91*(E91-1),IF(F91="PERDIDA",-H91,0)))</f>
        <v/>
      </c>
      <c r="H91" s="2" t="n"/>
      <c r="I91" s="7">
        <f>IFERROR(G91/H91,"")</f>
        <v/>
      </c>
      <c r="J91" s="2" t="n"/>
    </row>
    <row r="92">
      <c r="A92" s="2" t="n"/>
      <c r="B92" s="2" t="n"/>
      <c r="C92" s="2" t="n"/>
      <c r="D92" s="2" t="n"/>
      <c r="E92" s="6" t="n"/>
      <c r="F92" s="2" t="n"/>
      <c r="G92" s="2">
        <f>IF(F92="","",IF(F92="GANADA",H92*(E92-1),IF(F92="PERDIDA",-H92,0)))</f>
        <v/>
      </c>
      <c r="H92" s="2" t="n"/>
      <c r="I92" s="7">
        <f>IFERROR(G92/H92,"")</f>
        <v/>
      </c>
      <c r="J92" s="2" t="n"/>
    </row>
    <row r="93">
      <c r="A93" s="2" t="n"/>
      <c r="B93" s="2" t="n"/>
      <c r="C93" s="2" t="n"/>
      <c r="D93" s="2" t="n"/>
      <c r="E93" s="6" t="n"/>
      <c r="F93" s="2" t="n"/>
      <c r="G93" s="2">
        <f>IF(F93="","",IF(F93="GANADA",H93*(E93-1),IF(F93="PERDIDA",-H93,0)))</f>
        <v/>
      </c>
      <c r="H93" s="2" t="n"/>
      <c r="I93" s="7">
        <f>IFERROR(G93/H93,"")</f>
        <v/>
      </c>
      <c r="J93" s="2" t="n"/>
    </row>
    <row r="94">
      <c r="A94" s="2" t="n"/>
      <c r="B94" s="2" t="n"/>
      <c r="C94" s="2" t="n"/>
      <c r="D94" s="2" t="n"/>
      <c r="E94" s="6" t="n"/>
      <c r="F94" s="2" t="n"/>
      <c r="G94" s="2">
        <f>IF(F94="","",IF(F94="GANADA",H94*(E94-1),IF(F94="PERDIDA",-H94,0)))</f>
        <v/>
      </c>
      <c r="H94" s="2" t="n"/>
      <c r="I94" s="7">
        <f>IFERROR(G94/H94,"")</f>
        <v/>
      </c>
      <c r="J94" s="2" t="n"/>
    </row>
    <row r="95">
      <c r="A95" s="2" t="n"/>
      <c r="B95" s="2" t="n"/>
      <c r="C95" s="2" t="n"/>
      <c r="D95" s="2" t="n"/>
      <c r="E95" s="6" t="n"/>
      <c r="F95" s="2" t="n"/>
      <c r="G95" s="2">
        <f>IF(F95="","",IF(F95="GANADA",H95*(E95-1),IF(F95="PERDIDA",-H95,0)))</f>
        <v/>
      </c>
      <c r="H95" s="2" t="n"/>
      <c r="I95" s="7">
        <f>IFERROR(G95/H95,"")</f>
        <v/>
      </c>
      <c r="J95" s="2" t="n"/>
    </row>
    <row r="96">
      <c r="A96" s="2" t="n"/>
      <c r="B96" s="2" t="n"/>
      <c r="C96" s="2" t="n"/>
      <c r="D96" s="2" t="n"/>
      <c r="E96" s="6" t="n"/>
      <c r="F96" s="2" t="n"/>
      <c r="G96" s="2">
        <f>IF(F96="","",IF(F96="GANADA",H96*(E96-1),IF(F96="PERDIDA",-H96,0)))</f>
        <v/>
      </c>
      <c r="H96" s="2" t="n"/>
      <c r="I96" s="7">
        <f>IFERROR(G96/H96,"")</f>
        <v/>
      </c>
      <c r="J96" s="2" t="n"/>
    </row>
    <row r="97">
      <c r="A97" s="2" t="n"/>
      <c r="B97" s="2" t="n"/>
      <c r="C97" s="2" t="n"/>
      <c r="D97" s="2" t="n"/>
      <c r="E97" s="6" t="n"/>
      <c r="F97" s="2" t="n"/>
      <c r="G97" s="2">
        <f>IF(F97="","",IF(F97="GANADA",H97*(E97-1),IF(F97="PERDIDA",-H97,0)))</f>
        <v/>
      </c>
      <c r="H97" s="2" t="n"/>
      <c r="I97" s="7">
        <f>IFERROR(G97/H97,"")</f>
        <v/>
      </c>
      <c r="J97" s="2" t="n"/>
    </row>
    <row r="98">
      <c r="A98" s="2" t="n"/>
      <c r="B98" s="2" t="n"/>
      <c r="C98" s="2" t="n"/>
      <c r="D98" s="2" t="n"/>
      <c r="E98" s="6" t="n"/>
      <c r="F98" s="2" t="n"/>
      <c r="G98" s="2">
        <f>IF(F98="","",IF(F98="GANADA",H98*(E98-1),IF(F98="PERDIDA",-H98,0)))</f>
        <v/>
      </c>
      <c r="H98" s="2" t="n"/>
      <c r="I98" s="7">
        <f>IFERROR(G98/H98,"")</f>
        <v/>
      </c>
      <c r="J98" s="2" t="n"/>
    </row>
    <row r="99">
      <c r="A99" s="2" t="n"/>
      <c r="B99" s="2" t="n"/>
      <c r="C99" s="2" t="n"/>
      <c r="D99" s="2" t="n"/>
      <c r="E99" s="6" t="n"/>
      <c r="F99" s="2" t="n"/>
      <c r="G99" s="2">
        <f>IF(F99="","",IF(F99="GANADA",H99*(E99-1),IF(F99="PERDIDA",-H99,0)))</f>
        <v/>
      </c>
      <c r="H99" s="2" t="n"/>
      <c r="I99" s="7">
        <f>IFERROR(G99/H99,"")</f>
        <v/>
      </c>
      <c r="J99" s="2" t="n"/>
    </row>
    <row r="100">
      <c r="A100" s="2" t="n"/>
      <c r="B100" s="2" t="n"/>
      <c r="C100" s="2" t="n"/>
      <c r="D100" s="2" t="n"/>
      <c r="E100" s="6" t="n"/>
      <c r="F100" s="2" t="n"/>
      <c r="G100" s="2">
        <f>IF(F100="","",IF(F100="GANADA",H100*(E100-1),IF(F100="PERDIDA",-H100,0)))</f>
        <v/>
      </c>
      <c r="H100" s="2" t="n"/>
      <c r="I100" s="7">
        <f>IFERROR(G100/H100,"")</f>
        <v/>
      </c>
      <c r="J100" s="2" t="n"/>
    </row>
    <row r="101">
      <c r="A101" s="2" t="n"/>
      <c r="B101" s="2" t="n"/>
      <c r="C101" s="2" t="n"/>
      <c r="D101" s="2" t="n"/>
      <c r="E101" s="6" t="n"/>
      <c r="F101" s="2" t="n"/>
      <c r="G101" s="2">
        <f>IF(F101="","",IF(F101="GANADA",H101*(E101-1),IF(F101="PERDIDA",-H101,0)))</f>
        <v/>
      </c>
      <c r="H101" s="2" t="n"/>
      <c r="I101" s="7">
        <f>IFERROR(G101/H101,"")</f>
        <v/>
      </c>
      <c r="J101" s="2" t="n"/>
    </row>
    <row r="102">
      <c r="A102" s="2" t="n"/>
      <c r="B102" s="2" t="n"/>
      <c r="C102" s="2" t="n"/>
      <c r="D102" s="2" t="n"/>
      <c r="E102" s="6" t="n"/>
      <c r="F102" s="2" t="n"/>
      <c r="G102" s="2">
        <f>IF(F102="","",IF(F102="GANADA",H102*(E102-1),IF(F102="PERDIDA",-H102,0)))</f>
        <v/>
      </c>
      <c r="H102" s="2" t="n"/>
      <c r="I102" s="7">
        <f>IFERROR(G102/H102,"")</f>
        <v/>
      </c>
      <c r="J102" s="2" t="n"/>
    </row>
    <row r="103">
      <c r="A103" s="2" t="n"/>
      <c r="B103" s="2" t="n"/>
      <c r="C103" s="2" t="n"/>
      <c r="D103" s="2" t="n"/>
      <c r="E103" s="6" t="n"/>
      <c r="F103" s="2" t="n"/>
      <c r="G103" s="2">
        <f>IF(F103="","",IF(F103="GANADA",H103*(E103-1),IF(F103="PERDIDA",-H103,0)))</f>
        <v/>
      </c>
      <c r="H103" s="2" t="n"/>
      <c r="I103" s="7">
        <f>IFERROR(G103/H103,"")</f>
        <v/>
      </c>
      <c r="J103" s="2" t="n"/>
    </row>
    <row r="104">
      <c r="A104" s="2" t="n"/>
      <c r="B104" s="2" t="n"/>
      <c r="C104" s="2" t="n"/>
      <c r="D104" s="2" t="n"/>
      <c r="E104" s="6" t="n"/>
      <c r="F104" s="2" t="n"/>
      <c r="G104" s="2">
        <f>IF(F104="","",IF(F104="GANADA",H104*(E104-1),IF(F104="PERDIDA",-H104,0)))</f>
        <v/>
      </c>
      <c r="H104" s="2" t="n"/>
      <c r="I104" s="7">
        <f>IFERROR(G104/H104,"")</f>
        <v/>
      </c>
      <c r="J104" s="2" t="n"/>
    </row>
    <row r="105">
      <c r="A105" s="2" t="n"/>
      <c r="B105" s="2" t="n"/>
      <c r="C105" s="2" t="n"/>
      <c r="D105" s="2" t="n"/>
      <c r="E105" s="6" t="n"/>
      <c r="F105" s="2" t="n"/>
      <c r="G105" s="2">
        <f>IF(F105="","",IF(F105="GANADA",H105*(E105-1),IF(F105="PERDIDA",-H105,0)))</f>
        <v/>
      </c>
      <c r="H105" s="2" t="n"/>
      <c r="I105" s="7">
        <f>IFERROR(G105/H105,"")</f>
        <v/>
      </c>
      <c r="J105" s="2" t="n"/>
    </row>
    <row r="106">
      <c r="A106" s="2" t="n"/>
      <c r="B106" s="2" t="n"/>
      <c r="C106" s="2" t="n"/>
      <c r="D106" s="2" t="n"/>
      <c r="E106" s="6" t="n"/>
      <c r="F106" s="2" t="n"/>
      <c r="G106" s="2">
        <f>IF(F106="","",IF(F106="GANADA",H106*(E106-1),IF(F106="PERDIDA",-H106,0)))</f>
        <v/>
      </c>
      <c r="H106" s="2" t="n"/>
      <c r="I106" s="7">
        <f>IFERROR(G106/H106,"")</f>
        <v/>
      </c>
      <c r="J106" s="2" t="n"/>
    </row>
    <row r="107">
      <c r="A107" s="2" t="n"/>
      <c r="B107" s="2" t="n"/>
      <c r="C107" s="2" t="n"/>
      <c r="D107" s="2" t="n"/>
      <c r="E107" s="6" t="n"/>
      <c r="F107" s="2" t="n"/>
      <c r="G107" s="2">
        <f>IF(F107="","",IF(F107="GANADA",H107*(E107-1),IF(F107="PERDIDA",-H107,0)))</f>
        <v/>
      </c>
      <c r="H107" s="2" t="n"/>
      <c r="I107" s="7">
        <f>IFERROR(G107/H107,"")</f>
        <v/>
      </c>
      <c r="J107" s="2" t="n"/>
    </row>
    <row r="108">
      <c r="A108" s="2" t="n"/>
      <c r="B108" s="2" t="n"/>
      <c r="C108" s="2" t="n"/>
      <c r="D108" s="2" t="n"/>
      <c r="E108" s="6" t="n"/>
      <c r="F108" s="2" t="n"/>
      <c r="G108" s="2">
        <f>IF(F108="","",IF(F108="GANADA",H108*(E108-1),IF(F108="PERDIDA",-H108,0)))</f>
        <v/>
      </c>
      <c r="H108" s="2" t="n"/>
      <c r="I108" s="7">
        <f>IFERROR(G108/H108,"")</f>
        <v/>
      </c>
      <c r="J108" s="2" t="n"/>
    </row>
    <row r="109">
      <c r="A109" s="2" t="n"/>
      <c r="B109" s="2" t="n"/>
      <c r="C109" s="2" t="n"/>
      <c r="D109" s="2" t="n"/>
      <c r="E109" s="6" t="n"/>
      <c r="F109" s="2" t="n"/>
      <c r="G109" s="2">
        <f>IF(F109="","",IF(F109="GANADA",H109*(E109-1),IF(F109="PERDIDA",-H109,0)))</f>
        <v/>
      </c>
      <c r="H109" s="2" t="n"/>
      <c r="I109" s="7">
        <f>IFERROR(G109/H109,"")</f>
        <v/>
      </c>
      <c r="J109" s="2" t="n"/>
    </row>
    <row r="110">
      <c r="A110" s="2" t="n"/>
      <c r="B110" s="2" t="n"/>
      <c r="C110" s="2" t="n"/>
      <c r="D110" s="2" t="n"/>
      <c r="E110" s="6" t="n"/>
      <c r="F110" s="2" t="n"/>
      <c r="G110" s="2">
        <f>IF(F110="","",IF(F110="GANADA",H110*(E110-1),IF(F110="PERDIDA",-H110,0)))</f>
        <v/>
      </c>
      <c r="H110" s="2" t="n"/>
      <c r="I110" s="7">
        <f>IFERROR(G110/H110,"")</f>
        <v/>
      </c>
      <c r="J110" s="2" t="n"/>
    </row>
    <row r="111">
      <c r="A111" s="2" t="n"/>
      <c r="B111" s="2" t="n"/>
      <c r="C111" s="2" t="n"/>
      <c r="D111" s="2" t="n"/>
      <c r="E111" s="6" t="n"/>
      <c r="F111" s="2" t="n"/>
      <c r="G111" s="2">
        <f>IF(F111="","",IF(F111="GANADA",H111*(E111-1),IF(F111="PERDIDA",-H111,0)))</f>
        <v/>
      </c>
      <c r="H111" s="2" t="n"/>
      <c r="I111" s="7">
        <f>IFERROR(G111/H111,"")</f>
        <v/>
      </c>
      <c r="J111" s="2" t="n"/>
    </row>
    <row r="112">
      <c r="A112" s="2" t="n"/>
      <c r="B112" s="2" t="n"/>
      <c r="C112" s="2" t="n"/>
      <c r="D112" s="2" t="n"/>
      <c r="E112" s="6" t="n"/>
      <c r="F112" s="2" t="n"/>
      <c r="G112" s="2">
        <f>IF(F112="","",IF(F112="GANADA",H112*(E112-1),IF(F112="PERDIDA",-H112,0)))</f>
        <v/>
      </c>
      <c r="H112" s="2" t="n"/>
      <c r="I112" s="7">
        <f>IFERROR(G112/H112,"")</f>
        <v/>
      </c>
      <c r="J112" s="2" t="n"/>
    </row>
    <row r="113">
      <c r="A113" s="2" t="n"/>
      <c r="B113" s="2" t="n"/>
      <c r="C113" s="2" t="n"/>
      <c r="D113" s="2" t="n"/>
      <c r="E113" s="6" t="n"/>
      <c r="F113" s="2" t="n"/>
      <c r="G113" s="2">
        <f>IF(F113="","",IF(F113="GANADA",H113*(E113-1),IF(F113="PERDIDA",-H113,0)))</f>
        <v/>
      </c>
      <c r="H113" s="2" t="n"/>
      <c r="I113" s="7">
        <f>IFERROR(G113/H113,"")</f>
        <v/>
      </c>
      <c r="J113" s="2" t="n"/>
    </row>
    <row r="114">
      <c r="A114" s="2" t="n"/>
      <c r="B114" s="2" t="n"/>
      <c r="C114" s="2" t="n"/>
      <c r="D114" s="2" t="n"/>
      <c r="E114" s="6" t="n"/>
      <c r="F114" s="2" t="n"/>
      <c r="G114" s="2">
        <f>IF(F114="","",IF(F114="GANADA",H114*(E114-1),IF(F114="PERDIDA",-H114,0)))</f>
        <v/>
      </c>
      <c r="H114" s="2" t="n"/>
      <c r="I114" s="7">
        <f>IFERROR(G114/H114,"")</f>
        <v/>
      </c>
      <c r="J114" s="2" t="n"/>
    </row>
    <row r="115">
      <c r="A115" s="2" t="n"/>
      <c r="B115" s="2" t="n"/>
      <c r="C115" s="2" t="n"/>
      <c r="D115" s="2" t="n"/>
      <c r="E115" s="6" t="n"/>
      <c r="F115" s="2" t="n"/>
      <c r="G115" s="2">
        <f>IF(F115="","",IF(F115="GANADA",H115*(E115-1),IF(F115="PERDIDA",-H115,0)))</f>
        <v/>
      </c>
      <c r="H115" s="2" t="n"/>
      <c r="I115" s="7">
        <f>IFERROR(G115/H115,"")</f>
        <v/>
      </c>
      <c r="J115" s="2" t="n"/>
    </row>
    <row r="116">
      <c r="A116" s="2" t="n"/>
      <c r="B116" s="2" t="n"/>
      <c r="C116" s="2" t="n"/>
      <c r="D116" s="2" t="n"/>
      <c r="E116" s="6" t="n"/>
      <c r="F116" s="2" t="n"/>
      <c r="G116" s="2">
        <f>IF(F116="","",IF(F116="GANADA",H116*(E116-1),IF(F116="PERDIDA",-H116,0)))</f>
        <v/>
      </c>
      <c r="H116" s="2" t="n"/>
      <c r="I116" s="7">
        <f>IFERROR(G116/H116,"")</f>
        <v/>
      </c>
      <c r="J116" s="2" t="n"/>
    </row>
    <row r="117">
      <c r="A117" s="2" t="n"/>
      <c r="B117" s="2" t="n"/>
      <c r="C117" s="2" t="n"/>
      <c r="D117" s="2" t="n"/>
      <c r="E117" s="6" t="n"/>
      <c r="F117" s="2" t="n"/>
      <c r="G117" s="2">
        <f>IF(F117="","",IF(F117="GANADA",H117*(E117-1),IF(F117="PERDIDA",-H117,0)))</f>
        <v/>
      </c>
      <c r="H117" s="2" t="n"/>
      <c r="I117" s="7">
        <f>IFERROR(G117/H117,"")</f>
        <v/>
      </c>
      <c r="J117" s="2" t="n"/>
    </row>
    <row r="118">
      <c r="A118" s="2" t="n"/>
      <c r="B118" s="2" t="n"/>
      <c r="C118" s="2" t="n"/>
      <c r="D118" s="2" t="n"/>
      <c r="E118" s="6" t="n"/>
      <c r="F118" s="2" t="n"/>
      <c r="G118" s="2">
        <f>IF(F118="","",IF(F118="GANADA",H118*(E118-1),IF(F118="PERDIDA",-H118,0)))</f>
        <v/>
      </c>
      <c r="H118" s="2" t="n"/>
      <c r="I118" s="7">
        <f>IFERROR(G118/H118,"")</f>
        <v/>
      </c>
      <c r="J118" s="2" t="n"/>
    </row>
    <row r="119">
      <c r="A119" s="2" t="n"/>
      <c r="B119" s="2" t="n"/>
      <c r="C119" s="2" t="n"/>
      <c r="D119" s="2" t="n"/>
      <c r="E119" s="6" t="n"/>
      <c r="F119" s="2" t="n"/>
      <c r="G119" s="2">
        <f>IF(F119="","",IF(F119="GANADA",H119*(E119-1),IF(F119="PERDIDA",-H119,0)))</f>
        <v/>
      </c>
      <c r="H119" s="2" t="n"/>
      <c r="I119" s="7">
        <f>IFERROR(G119/H119,"")</f>
        <v/>
      </c>
      <c r="J119" s="2" t="n"/>
    </row>
    <row r="120">
      <c r="A120" s="2" t="n"/>
      <c r="B120" s="2" t="n"/>
      <c r="C120" s="2" t="n"/>
      <c r="D120" s="2" t="n"/>
      <c r="E120" s="6" t="n"/>
      <c r="F120" s="2" t="n"/>
      <c r="G120" s="2">
        <f>IF(F120="","",IF(F120="GANADA",H120*(E120-1),IF(F120="PERDIDA",-H120,0)))</f>
        <v/>
      </c>
      <c r="H120" s="2" t="n"/>
      <c r="I120" s="7">
        <f>IFERROR(G120/H120,"")</f>
        <v/>
      </c>
      <c r="J120" s="2" t="n"/>
    </row>
    <row r="121">
      <c r="A121" s="2" t="n"/>
      <c r="B121" s="2" t="n"/>
      <c r="C121" s="2" t="n"/>
      <c r="D121" s="2" t="n"/>
      <c r="E121" s="6" t="n"/>
      <c r="F121" s="2" t="n"/>
      <c r="G121" s="2">
        <f>IF(F121="","",IF(F121="GANADA",H121*(E121-1),IF(F121="PERDIDA",-H121,0)))</f>
        <v/>
      </c>
      <c r="H121" s="2" t="n"/>
      <c r="I121" s="7">
        <f>IFERROR(G121/H121,"")</f>
        <v/>
      </c>
      <c r="J121" s="2" t="n"/>
    </row>
    <row r="122">
      <c r="A122" s="2" t="n"/>
      <c r="B122" s="2" t="n"/>
      <c r="C122" s="2" t="n"/>
      <c r="D122" s="2" t="n"/>
      <c r="E122" s="6" t="n"/>
      <c r="F122" s="2" t="n"/>
      <c r="G122" s="2">
        <f>IF(F122="","",IF(F122="GANADA",H122*(E122-1),IF(F122="PERDIDA",-H122,0)))</f>
        <v/>
      </c>
      <c r="H122" s="2" t="n"/>
      <c r="I122" s="7">
        <f>IFERROR(G122/H122,"")</f>
        <v/>
      </c>
      <c r="J122" s="2" t="n"/>
    </row>
    <row r="123">
      <c r="A123" s="2" t="n"/>
      <c r="B123" s="2" t="n"/>
      <c r="C123" s="2" t="n"/>
      <c r="D123" s="2" t="n"/>
      <c r="E123" s="6" t="n"/>
      <c r="F123" s="2" t="n"/>
      <c r="G123" s="2">
        <f>IF(F123="","",IF(F123="GANADA",H123*(E123-1),IF(F123="PERDIDA",-H123,0)))</f>
        <v/>
      </c>
      <c r="H123" s="2" t="n"/>
      <c r="I123" s="7">
        <f>IFERROR(G123/H123,"")</f>
        <v/>
      </c>
      <c r="J123" s="2" t="n"/>
    </row>
    <row r="124">
      <c r="A124" s="2" t="n"/>
      <c r="B124" s="2" t="n"/>
      <c r="C124" s="2" t="n"/>
      <c r="D124" s="2" t="n"/>
      <c r="E124" s="6" t="n"/>
      <c r="F124" s="2" t="n"/>
      <c r="G124" s="2">
        <f>IF(F124="","",IF(F124="GANADA",H124*(E124-1),IF(F124="PERDIDA",-H124,0)))</f>
        <v/>
      </c>
      <c r="H124" s="2" t="n"/>
      <c r="I124" s="7">
        <f>IFERROR(G124/H124,"")</f>
        <v/>
      </c>
      <c r="J124" s="2" t="n"/>
    </row>
    <row r="125">
      <c r="A125" s="2" t="n"/>
      <c r="B125" s="2" t="n"/>
      <c r="C125" s="2" t="n"/>
      <c r="D125" s="2" t="n"/>
      <c r="E125" s="6" t="n"/>
      <c r="F125" s="2" t="n"/>
      <c r="G125" s="2">
        <f>IF(F125="","",IF(F125="GANADA",H125*(E125-1),IF(F125="PERDIDA",-H125,0)))</f>
        <v/>
      </c>
      <c r="H125" s="2" t="n"/>
      <c r="I125" s="7">
        <f>IFERROR(G125/H125,"")</f>
        <v/>
      </c>
      <c r="J125" s="2" t="n"/>
    </row>
    <row r="126">
      <c r="A126" s="2" t="n"/>
      <c r="B126" s="2" t="n"/>
      <c r="C126" s="2" t="n"/>
      <c r="D126" s="2" t="n"/>
      <c r="E126" s="6" t="n"/>
      <c r="F126" s="2" t="n"/>
      <c r="G126" s="2">
        <f>IF(F126="","",IF(F126="GANADA",H126*(E126-1),IF(F126="PERDIDA",-H126,0)))</f>
        <v/>
      </c>
      <c r="H126" s="2" t="n"/>
      <c r="I126" s="7">
        <f>IFERROR(G126/H126,"")</f>
        <v/>
      </c>
      <c r="J126" s="2" t="n"/>
    </row>
    <row r="127">
      <c r="A127" s="2" t="n"/>
      <c r="B127" s="2" t="n"/>
      <c r="C127" s="2" t="n"/>
      <c r="D127" s="2" t="n"/>
      <c r="E127" s="6" t="n"/>
      <c r="F127" s="2" t="n"/>
      <c r="G127" s="2">
        <f>IF(F127="","",IF(F127="GANADA",H127*(E127-1),IF(F127="PERDIDA",-H127,0)))</f>
        <v/>
      </c>
      <c r="H127" s="2" t="n"/>
      <c r="I127" s="7">
        <f>IFERROR(G127/H127,"")</f>
        <v/>
      </c>
      <c r="J127" s="2" t="n"/>
    </row>
    <row r="128">
      <c r="A128" s="2" t="n"/>
      <c r="B128" s="2" t="n"/>
      <c r="C128" s="2" t="n"/>
      <c r="D128" s="2" t="n"/>
      <c r="E128" s="6" t="n"/>
      <c r="F128" s="2" t="n"/>
      <c r="G128" s="2">
        <f>IF(F128="","",IF(F128="GANADA",H128*(E128-1),IF(F128="PERDIDA",-H128,0)))</f>
        <v/>
      </c>
      <c r="H128" s="2" t="n"/>
      <c r="I128" s="7">
        <f>IFERROR(G128/H128,"")</f>
        <v/>
      </c>
      <c r="J128" s="2" t="n"/>
    </row>
    <row r="129">
      <c r="A129" s="2" t="n"/>
      <c r="B129" s="2" t="n"/>
      <c r="C129" s="2" t="n"/>
      <c r="D129" s="2" t="n"/>
      <c r="E129" s="6" t="n"/>
      <c r="F129" s="2" t="n"/>
      <c r="G129" s="2">
        <f>IF(F129="","",IF(F129="GANADA",H129*(E129-1),IF(F129="PERDIDA",-H129,0)))</f>
        <v/>
      </c>
      <c r="H129" s="2" t="n"/>
      <c r="I129" s="7">
        <f>IFERROR(G129/H129,"")</f>
        <v/>
      </c>
      <c r="J129" s="2" t="n"/>
    </row>
    <row r="130">
      <c r="A130" s="2" t="n"/>
      <c r="B130" s="2" t="n"/>
      <c r="C130" s="2" t="n"/>
      <c r="D130" s="2" t="n"/>
      <c r="E130" s="6" t="n"/>
      <c r="F130" s="2" t="n"/>
      <c r="G130" s="2">
        <f>IF(F130="","",IF(F130="GANADA",H130*(E130-1),IF(F130="PERDIDA",-H130,0)))</f>
        <v/>
      </c>
      <c r="H130" s="2" t="n"/>
      <c r="I130" s="7">
        <f>IFERROR(G130/H130,"")</f>
        <v/>
      </c>
      <c r="J130" s="2" t="n"/>
    </row>
    <row r="131">
      <c r="A131" s="2" t="n"/>
      <c r="B131" s="2" t="n"/>
      <c r="C131" s="2" t="n"/>
      <c r="D131" s="2" t="n"/>
      <c r="E131" s="6" t="n"/>
      <c r="F131" s="2" t="n"/>
      <c r="G131" s="2">
        <f>IF(F131="","",IF(F131="GANADA",H131*(E131-1),IF(F131="PERDIDA",-H131,0)))</f>
        <v/>
      </c>
      <c r="H131" s="2" t="n"/>
      <c r="I131" s="7">
        <f>IFERROR(G131/H131,"")</f>
        <v/>
      </c>
      <c r="J131" s="2" t="n"/>
    </row>
    <row r="132">
      <c r="A132" s="2" t="n"/>
      <c r="B132" s="2" t="n"/>
      <c r="C132" s="2" t="n"/>
      <c r="D132" s="2" t="n"/>
      <c r="E132" s="6" t="n"/>
      <c r="F132" s="2" t="n"/>
      <c r="G132" s="2">
        <f>IF(F132="","",IF(F132="GANADA",H132*(E132-1),IF(F132="PERDIDA",-H132,0)))</f>
        <v/>
      </c>
      <c r="H132" s="2" t="n"/>
      <c r="I132" s="7">
        <f>IFERROR(G132/H132,"")</f>
        <v/>
      </c>
      <c r="J132" s="2" t="n"/>
    </row>
    <row r="133">
      <c r="A133" s="2" t="n"/>
      <c r="B133" s="2" t="n"/>
      <c r="C133" s="2" t="n"/>
      <c r="D133" s="2" t="n"/>
      <c r="E133" s="6" t="n"/>
      <c r="F133" s="2" t="n"/>
      <c r="G133" s="2">
        <f>IF(F133="","",IF(F133="GANADA",H133*(E133-1),IF(F133="PERDIDA",-H133,0)))</f>
        <v/>
      </c>
      <c r="H133" s="2" t="n"/>
      <c r="I133" s="7">
        <f>IFERROR(G133/H133,"")</f>
        <v/>
      </c>
      <c r="J133" s="2" t="n"/>
    </row>
    <row r="134">
      <c r="A134" s="2" t="n"/>
      <c r="B134" s="2" t="n"/>
      <c r="C134" s="2" t="n"/>
      <c r="D134" s="2" t="n"/>
      <c r="E134" s="6" t="n"/>
      <c r="F134" s="2" t="n"/>
      <c r="G134" s="2">
        <f>IF(F134="","",IF(F134="GANADA",H134*(E134-1),IF(F134="PERDIDA",-H134,0)))</f>
        <v/>
      </c>
      <c r="H134" s="2" t="n"/>
      <c r="I134" s="7">
        <f>IFERROR(G134/H134,"")</f>
        <v/>
      </c>
      <c r="J134" s="2" t="n"/>
    </row>
    <row r="135">
      <c r="A135" s="2" t="n"/>
      <c r="B135" s="2" t="n"/>
      <c r="C135" s="2" t="n"/>
      <c r="D135" s="2" t="n"/>
      <c r="E135" s="6" t="n"/>
      <c r="F135" s="2" t="n"/>
      <c r="G135" s="2">
        <f>IF(F135="","",IF(F135="GANADA",H135*(E135-1),IF(F135="PERDIDA",-H135,0)))</f>
        <v/>
      </c>
      <c r="H135" s="2" t="n"/>
      <c r="I135" s="7">
        <f>IFERROR(G135/H135,"")</f>
        <v/>
      </c>
      <c r="J135" s="2" t="n"/>
    </row>
    <row r="136">
      <c r="A136" s="2" t="n"/>
      <c r="B136" s="2" t="n"/>
      <c r="C136" s="2" t="n"/>
      <c r="D136" s="2" t="n"/>
      <c r="E136" s="6" t="n"/>
      <c r="F136" s="2" t="n"/>
      <c r="G136" s="2">
        <f>IF(F136="","",IF(F136="GANADA",H136*(E136-1),IF(F136="PERDIDA",-H136,0)))</f>
        <v/>
      </c>
      <c r="H136" s="2" t="n"/>
      <c r="I136" s="7">
        <f>IFERROR(G136/H136,"")</f>
        <v/>
      </c>
      <c r="J136" s="2" t="n"/>
    </row>
    <row r="137">
      <c r="A137" s="2" t="n"/>
      <c r="B137" s="2" t="n"/>
      <c r="C137" s="2" t="n"/>
      <c r="D137" s="2" t="n"/>
      <c r="E137" s="6" t="n"/>
      <c r="F137" s="2" t="n"/>
      <c r="G137" s="2">
        <f>IF(F137="","",IF(F137="GANADA",H137*(E137-1),IF(F137="PERDIDA",-H137,0)))</f>
        <v/>
      </c>
      <c r="H137" s="2" t="n"/>
      <c r="I137" s="7">
        <f>IFERROR(G137/H137,"")</f>
        <v/>
      </c>
      <c r="J137" s="2" t="n"/>
    </row>
    <row r="138">
      <c r="A138" s="2" t="n"/>
      <c r="B138" s="2" t="n"/>
      <c r="C138" s="2" t="n"/>
      <c r="D138" s="2" t="n"/>
      <c r="E138" s="6" t="n"/>
      <c r="F138" s="2" t="n"/>
      <c r="G138" s="2">
        <f>IF(F138="","",IF(F138="GANADA",H138*(E138-1),IF(F138="PERDIDA",-H138,0)))</f>
        <v/>
      </c>
      <c r="H138" s="2" t="n"/>
      <c r="I138" s="7">
        <f>IFERROR(G138/H138,"")</f>
        <v/>
      </c>
      <c r="J138" s="2" t="n"/>
    </row>
    <row r="139">
      <c r="A139" s="2" t="n"/>
      <c r="B139" s="2" t="n"/>
      <c r="C139" s="2" t="n"/>
      <c r="D139" s="2" t="n"/>
      <c r="E139" s="6" t="n"/>
      <c r="F139" s="2" t="n"/>
      <c r="G139" s="2">
        <f>IF(F139="","",IF(F139="GANADA",H139*(E139-1),IF(F139="PERDIDA",-H139,0)))</f>
        <v/>
      </c>
      <c r="H139" s="2" t="n"/>
      <c r="I139" s="7">
        <f>IFERROR(G139/H139,"")</f>
        <v/>
      </c>
      <c r="J139" s="2" t="n"/>
    </row>
    <row r="140">
      <c r="A140" s="2" t="n"/>
      <c r="B140" s="2" t="n"/>
      <c r="C140" s="2" t="n"/>
      <c r="D140" s="2" t="n"/>
      <c r="E140" s="6" t="n"/>
      <c r="F140" s="2" t="n"/>
      <c r="G140" s="2">
        <f>IF(F140="","",IF(F140="GANADA",H140*(E140-1),IF(F140="PERDIDA",-H140,0)))</f>
        <v/>
      </c>
      <c r="H140" s="2" t="n"/>
      <c r="I140" s="7">
        <f>IFERROR(G140/H140,"")</f>
        <v/>
      </c>
      <c r="J140" s="2" t="n"/>
    </row>
    <row r="141">
      <c r="A141" s="2" t="n"/>
      <c r="B141" s="2" t="n"/>
      <c r="C141" s="2" t="n"/>
      <c r="D141" s="2" t="n"/>
      <c r="E141" s="6" t="n"/>
      <c r="F141" s="2" t="n"/>
      <c r="G141" s="2">
        <f>IF(F141="","",IF(F141="GANADA",H141*(E141-1),IF(F141="PERDIDA",-H141,0)))</f>
        <v/>
      </c>
      <c r="H141" s="2" t="n"/>
      <c r="I141" s="7">
        <f>IFERROR(G141/H141,"")</f>
        <v/>
      </c>
      <c r="J141" s="2" t="n"/>
    </row>
    <row r="142">
      <c r="A142" s="2" t="n"/>
      <c r="B142" s="2" t="n"/>
      <c r="C142" s="2" t="n"/>
      <c r="D142" s="2" t="n"/>
      <c r="E142" s="6" t="n"/>
      <c r="F142" s="2" t="n"/>
      <c r="G142" s="2">
        <f>IF(F142="","",IF(F142="GANADA",H142*(E142-1),IF(F142="PERDIDA",-H142,0)))</f>
        <v/>
      </c>
      <c r="H142" s="2" t="n"/>
      <c r="I142" s="7">
        <f>IFERROR(G142/H142,"")</f>
        <v/>
      </c>
      <c r="J142" s="2" t="n"/>
    </row>
    <row r="143">
      <c r="A143" s="2" t="n"/>
      <c r="B143" s="2" t="n"/>
      <c r="C143" s="2" t="n"/>
      <c r="D143" s="2" t="n"/>
      <c r="E143" s="6" t="n"/>
      <c r="F143" s="2" t="n"/>
      <c r="G143" s="2">
        <f>IF(F143="","",IF(F143="GANADA",H143*(E143-1),IF(F143="PERDIDA",-H143,0)))</f>
        <v/>
      </c>
      <c r="H143" s="2" t="n"/>
      <c r="I143" s="7">
        <f>IFERROR(G143/H143,"")</f>
        <v/>
      </c>
      <c r="J143" s="2" t="n"/>
    </row>
    <row r="144">
      <c r="A144" s="2" t="n"/>
      <c r="B144" s="2" t="n"/>
      <c r="C144" s="2" t="n"/>
      <c r="D144" s="2" t="n"/>
      <c r="E144" s="6" t="n"/>
      <c r="F144" s="2" t="n"/>
      <c r="G144" s="2">
        <f>IF(F144="","",IF(F144="GANADA",H144*(E144-1),IF(F144="PERDIDA",-H144,0)))</f>
        <v/>
      </c>
      <c r="H144" s="2" t="n"/>
      <c r="I144" s="7">
        <f>IFERROR(G144/H144,"")</f>
        <v/>
      </c>
      <c r="J144" s="2" t="n"/>
    </row>
    <row r="145">
      <c r="A145" s="2" t="n"/>
      <c r="B145" s="2" t="n"/>
      <c r="C145" s="2" t="n"/>
      <c r="D145" s="2" t="n"/>
      <c r="E145" s="6" t="n"/>
      <c r="F145" s="2" t="n"/>
      <c r="G145" s="2">
        <f>IF(F145="","",IF(F145="GANADA",H145*(E145-1),IF(F145="PERDIDA",-H145,0)))</f>
        <v/>
      </c>
      <c r="H145" s="2" t="n"/>
      <c r="I145" s="7">
        <f>IFERROR(G145/H145,"")</f>
        <v/>
      </c>
      <c r="J145" s="2" t="n"/>
    </row>
    <row r="146">
      <c r="A146" s="2" t="n"/>
      <c r="B146" s="2" t="n"/>
      <c r="C146" s="2" t="n"/>
      <c r="D146" s="2" t="n"/>
      <c r="E146" s="6" t="n"/>
      <c r="F146" s="2" t="n"/>
      <c r="G146" s="2">
        <f>IF(F146="","",IF(F146="GANADA",H146*(E146-1),IF(F146="PERDIDA",-H146,0)))</f>
        <v/>
      </c>
      <c r="H146" s="2" t="n"/>
      <c r="I146" s="7">
        <f>IFERROR(G146/H146,"")</f>
        <v/>
      </c>
      <c r="J146" s="2" t="n"/>
    </row>
    <row r="147">
      <c r="A147" s="2" t="n"/>
      <c r="B147" s="2" t="n"/>
      <c r="C147" s="2" t="n"/>
      <c r="D147" s="2" t="n"/>
      <c r="E147" s="6" t="n"/>
      <c r="F147" s="2" t="n"/>
      <c r="G147" s="2">
        <f>IF(F147="","",IF(F147="GANADA",H147*(E147-1),IF(F147="PERDIDA",-H147,0)))</f>
        <v/>
      </c>
      <c r="H147" s="2" t="n"/>
      <c r="I147" s="7">
        <f>IFERROR(G147/H147,"")</f>
        <v/>
      </c>
      <c r="J147" s="2" t="n"/>
    </row>
    <row r="148">
      <c r="A148" s="2" t="n"/>
      <c r="B148" s="2" t="n"/>
      <c r="C148" s="2" t="n"/>
      <c r="D148" s="2" t="n"/>
      <c r="E148" s="6" t="n"/>
      <c r="F148" s="2" t="n"/>
      <c r="G148" s="2">
        <f>IF(F148="","",IF(F148="GANADA",H148*(E148-1),IF(F148="PERDIDA",-H148,0)))</f>
        <v/>
      </c>
      <c r="H148" s="2" t="n"/>
      <c r="I148" s="7">
        <f>IFERROR(G148/H148,"")</f>
        <v/>
      </c>
      <c r="J148" s="2" t="n"/>
    </row>
    <row r="149">
      <c r="A149" s="2" t="n"/>
      <c r="B149" s="2" t="n"/>
      <c r="C149" s="2" t="n"/>
      <c r="D149" s="2" t="n"/>
      <c r="E149" s="6" t="n"/>
      <c r="F149" s="2" t="n"/>
      <c r="G149" s="2">
        <f>IF(F149="","",IF(F149="GANADA",H149*(E149-1),IF(F149="PERDIDA",-H149,0)))</f>
        <v/>
      </c>
      <c r="H149" s="2" t="n"/>
      <c r="I149" s="7">
        <f>IFERROR(G149/H149,"")</f>
        <v/>
      </c>
      <c r="J149" s="2" t="n"/>
    </row>
    <row r="150">
      <c r="A150" s="2" t="n"/>
      <c r="B150" s="2" t="n"/>
      <c r="C150" s="2" t="n"/>
      <c r="D150" s="2" t="n"/>
      <c r="E150" s="6" t="n"/>
      <c r="F150" s="2" t="n"/>
      <c r="G150" s="2">
        <f>IF(F150="","",IF(F150="GANADA",H150*(E150-1),IF(F150="PERDIDA",-H150,0)))</f>
        <v/>
      </c>
      <c r="H150" s="2" t="n"/>
      <c r="I150" s="7">
        <f>IFERROR(G150/H150,"")</f>
        <v/>
      </c>
      <c r="J150" s="2" t="n"/>
    </row>
    <row r="151">
      <c r="A151" s="2" t="n"/>
      <c r="B151" s="2" t="n"/>
      <c r="C151" s="2" t="n"/>
      <c r="D151" s="2" t="n"/>
      <c r="E151" s="6" t="n"/>
      <c r="F151" s="2" t="n"/>
      <c r="G151" s="2">
        <f>IF(F151="","",IF(F151="GANADA",H151*(E151-1),IF(F151="PERDIDA",-H151,0)))</f>
        <v/>
      </c>
      <c r="H151" s="2" t="n"/>
      <c r="I151" s="7">
        <f>IFERROR(G151/H151,"")</f>
        <v/>
      </c>
      <c r="J151" s="2" t="n"/>
    </row>
    <row r="152">
      <c r="A152" s="2" t="n"/>
      <c r="B152" s="2" t="n"/>
      <c r="C152" s="2" t="n"/>
      <c r="D152" s="2" t="n"/>
      <c r="E152" s="6" t="n"/>
      <c r="F152" s="2" t="n"/>
      <c r="G152" s="2">
        <f>IF(F152="","",IF(F152="GANADA",H152*(E152-1),IF(F152="PERDIDA",-H152,0)))</f>
        <v/>
      </c>
      <c r="H152" s="2" t="n"/>
      <c r="I152" s="7">
        <f>IFERROR(G152/H152,"")</f>
        <v/>
      </c>
      <c r="J152" s="2" t="n"/>
    </row>
    <row r="153">
      <c r="A153" s="2" t="n"/>
      <c r="B153" s="2" t="n"/>
      <c r="C153" s="2" t="n"/>
      <c r="D153" s="2" t="n"/>
      <c r="E153" s="6" t="n"/>
      <c r="F153" s="2" t="n"/>
      <c r="G153" s="2">
        <f>IF(F153="","",IF(F153="GANADA",H153*(E153-1),IF(F153="PERDIDA",-H153,0)))</f>
        <v/>
      </c>
      <c r="H153" s="2" t="n"/>
      <c r="I153" s="7">
        <f>IFERROR(G153/H153,"")</f>
        <v/>
      </c>
      <c r="J153" s="2" t="n"/>
    </row>
    <row r="154">
      <c r="A154" s="2" t="n"/>
      <c r="B154" s="2" t="n"/>
      <c r="C154" s="2" t="n"/>
      <c r="D154" s="2" t="n"/>
      <c r="E154" s="6" t="n"/>
      <c r="F154" s="2" t="n"/>
      <c r="G154" s="2">
        <f>IF(F154="","",IF(F154="GANADA",H154*(E154-1),IF(F154="PERDIDA",-H154,0)))</f>
        <v/>
      </c>
      <c r="H154" s="2" t="n"/>
      <c r="I154" s="7">
        <f>IFERROR(G154/H154,"")</f>
        <v/>
      </c>
      <c r="J154" s="2" t="n"/>
    </row>
    <row r="155">
      <c r="A155" s="2" t="n"/>
      <c r="B155" s="2" t="n"/>
      <c r="C155" s="2" t="n"/>
      <c r="D155" s="2" t="n"/>
      <c r="E155" s="6" t="n"/>
      <c r="F155" s="2" t="n"/>
      <c r="G155" s="2">
        <f>IF(F155="","",IF(F155="GANADA",H155*(E155-1),IF(F155="PERDIDA",-H155,0)))</f>
        <v/>
      </c>
      <c r="H155" s="2" t="n"/>
      <c r="I155" s="7">
        <f>IFERROR(G155/H155,"")</f>
        <v/>
      </c>
      <c r="J155" s="2" t="n"/>
    </row>
    <row r="156">
      <c r="A156" s="2" t="n"/>
      <c r="B156" s="2" t="n"/>
      <c r="C156" s="2" t="n"/>
      <c r="D156" s="2" t="n"/>
      <c r="E156" s="6" t="n"/>
      <c r="F156" s="2" t="n"/>
      <c r="G156" s="2">
        <f>IF(F156="","",IF(F156="GANADA",H156*(E156-1),IF(F156="PERDIDA",-H156,0)))</f>
        <v/>
      </c>
      <c r="H156" s="2" t="n"/>
      <c r="I156" s="7">
        <f>IFERROR(G156/H156,"")</f>
        <v/>
      </c>
      <c r="J156" s="2" t="n"/>
    </row>
    <row r="157">
      <c r="A157" s="2" t="n"/>
      <c r="B157" s="2" t="n"/>
      <c r="C157" s="2" t="n"/>
      <c r="D157" s="2" t="n"/>
      <c r="E157" s="6" t="n"/>
      <c r="F157" s="2" t="n"/>
      <c r="G157" s="2">
        <f>IF(F157="","",IF(F157="GANADA",H157*(E157-1),IF(F157="PERDIDA",-H157,0)))</f>
        <v/>
      </c>
      <c r="H157" s="2" t="n"/>
      <c r="I157" s="7">
        <f>IFERROR(G157/H157,"")</f>
        <v/>
      </c>
      <c r="J157" s="2" t="n"/>
    </row>
    <row r="158">
      <c r="A158" s="2" t="n"/>
      <c r="B158" s="2" t="n"/>
      <c r="C158" s="2" t="n"/>
      <c r="D158" s="2" t="n"/>
      <c r="E158" s="6" t="n"/>
      <c r="F158" s="2" t="n"/>
      <c r="G158" s="2">
        <f>IF(F158="","",IF(F158="GANADA",H158*(E158-1),IF(F158="PERDIDA",-H158,0)))</f>
        <v/>
      </c>
      <c r="H158" s="2" t="n"/>
      <c r="I158" s="7">
        <f>IFERROR(G158/H158,"")</f>
        <v/>
      </c>
      <c r="J158" s="2" t="n"/>
    </row>
    <row r="159">
      <c r="A159" s="2" t="n"/>
      <c r="B159" s="2" t="n"/>
      <c r="C159" s="2" t="n"/>
      <c r="D159" s="2" t="n"/>
      <c r="E159" s="6" t="n"/>
      <c r="F159" s="2" t="n"/>
      <c r="G159" s="2">
        <f>IF(F159="","",IF(F159="GANADA",H159*(E159-1),IF(F159="PERDIDA",-H159,0)))</f>
        <v/>
      </c>
      <c r="H159" s="2" t="n"/>
      <c r="I159" s="7">
        <f>IFERROR(G159/H159,"")</f>
        <v/>
      </c>
      <c r="J159" s="2" t="n"/>
    </row>
    <row r="160">
      <c r="A160" s="2" t="n"/>
      <c r="B160" s="2" t="n"/>
      <c r="C160" s="2" t="n"/>
      <c r="D160" s="2" t="n"/>
      <c r="E160" s="6" t="n"/>
      <c r="F160" s="2" t="n"/>
      <c r="G160" s="2">
        <f>IF(F160="","",IF(F160="GANADA",H160*(E160-1),IF(F160="PERDIDA",-H160,0)))</f>
        <v/>
      </c>
      <c r="H160" s="2" t="n"/>
      <c r="I160" s="7">
        <f>IFERROR(G160/H160,"")</f>
        <v/>
      </c>
      <c r="J160" s="2" t="n"/>
    </row>
    <row r="161">
      <c r="A161" s="2" t="n"/>
      <c r="B161" s="2" t="n"/>
      <c r="C161" s="2" t="n"/>
      <c r="D161" s="2" t="n"/>
      <c r="E161" s="6" t="n"/>
      <c r="F161" s="2" t="n"/>
      <c r="G161" s="2">
        <f>IF(F161="","",IF(F161="GANADA",H161*(E161-1),IF(F161="PERDIDA",-H161,0)))</f>
        <v/>
      </c>
      <c r="H161" s="2" t="n"/>
      <c r="I161" s="7">
        <f>IFERROR(G161/H161,"")</f>
        <v/>
      </c>
      <c r="J161" s="2" t="n"/>
    </row>
    <row r="162">
      <c r="A162" s="2" t="n"/>
      <c r="B162" s="2" t="n"/>
      <c r="C162" s="2" t="n"/>
      <c r="D162" s="2" t="n"/>
      <c r="E162" s="6" t="n"/>
      <c r="F162" s="2" t="n"/>
      <c r="G162" s="2">
        <f>IF(F162="","",IF(F162="GANADA",H162*(E162-1),IF(F162="PERDIDA",-H162,0)))</f>
        <v/>
      </c>
      <c r="H162" s="2" t="n"/>
      <c r="I162" s="7">
        <f>IFERROR(G162/H162,"")</f>
        <v/>
      </c>
      <c r="J162" s="2" t="n"/>
    </row>
    <row r="163">
      <c r="A163" s="2" t="n"/>
      <c r="B163" s="2" t="n"/>
      <c r="C163" s="2" t="n"/>
      <c r="D163" s="2" t="n"/>
      <c r="E163" s="6" t="n"/>
      <c r="F163" s="2" t="n"/>
      <c r="G163" s="2">
        <f>IF(F163="","",IF(F163="GANADA",H163*(E163-1),IF(F163="PERDIDA",-H163,0)))</f>
        <v/>
      </c>
      <c r="H163" s="2" t="n"/>
      <c r="I163" s="7">
        <f>IFERROR(G163/H163,"")</f>
        <v/>
      </c>
      <c r="J163" s="2" t="n"/>
    </row>
    <row r="164">
      <c r="A164" s="2" t="n"/>
      <c r="B164" s="2" t="n"/>
      <c r="C164" s="2" t="n"/>
      <c r="D164" s="2" t="n"/>
      <c r="E164" s="6" t="n"/>
      <c r="F164" s="2" t="n"/>
      <c r="G164" s="2">
        <f>IF(F164="","",IF(F164="GANADA",H164*(E164-1),IF(F164="PERDIDA",-H164,0)))</f>
        <v/>
      </c>
      <c r="H164" s="2" t="n"/>
      <c r="I164" s="7">
        <f>IFERROR(G164/H164,"")</f>
        <v/>
      </c>
      <c r="J164" s="2" t="n"/>
    </row>
    <row r="165">
      <c r="A165" s="2" t="n"/>
      <c r="B165" s="2" t="n"/>
      <c r="C165" s="2" t="n"/>
      <c r="D165" s="2" t="n"/>
      <c r="E165" s="6" t="n"/>
      <c r="F165" s="2" t="n"/>
      <c r="G165" s="2">
        <f>IF(F165="","",IF(F165="GANADA",H165*(E165-1),IF(F165="PERDIDA",-H165,0)))</f>
        <v/>
      </c>
      <c r="H165" s="2" t="n"/>
      <c r="I165" s="7">
        <f>IFERROR(G165/H165,"")</f>
        <v/>
      </c>
      <c r="J165" s="2" t="n"/>
    </row>
    <row r="166">
      <c r="A166" s="2" t="n"/>
      <c r="B166" s="2" t="n"/>
      <c r="C166" s="2" t="n"/>
      <c r="D166" s="2" t="n"/>
      <c r="E166" s="6" t="n"/>
      <c r="F166" s="2" t="n"/>
      <c r="G166" s="2">
        <f>IF(F166="","",IF(F166="GANADA",H166*(E166-1),IF(F166="PERDIDA",-H166,0)))</f>
        <v/>
      </c>
      <c r="H166" s="2" t="n"/>
      <c r="I166" s="7">
        <f>IFERROR(G166/H166,"")</f>
        <v/>
      </c>
      <c r="J166" s="2" t="n"/>
    </row>
    <row r="167">
      <c r="A167" s="2" t="n"/>
      <c r="B167" s="2" t="n"/>
      <c r="C167" s="2" t="n"/>
      <c r="D167" s="2" t="n"/>
      <c r="E167" s="6" t="n"/>
      <c r="F167" s="2" t="n"/>
      <c r="G167" s="2">
        <f>IF(F167="","",IF(F167="GANADA",H167*(E167-1),IF(F167="PERDIDA",-H167,0)))</f>
        <v/>
      </c>
      <c r="H167" s="2" t="n"/>
      <c r="I167" s="7">
        <f>IFERROR(G167/H167,"")</f>
        <v/>
      </c>
      <c r="J167" s="2" t="n"/>
    </row>
    <row r="168">
      <c r="A168" s="2" t="n"/>
      <c r="B168" s="2" t="n"/>
      <c r="C168" s="2" t="n"/>
      <c r="D168" s="2" t="n"/>
      <c r="E168" s="6" t="n"/>
      <c r="F168" s="2" t="n"/>
      <c r="G168" s="2">
        <f>IF(F168="","",IF(F168="GANADA",H168*(E168-1),IF(F168="PERDIDA",-H168,0)))</f>
        <v/>
      </c>
      <c r="H168" s="2" t="n"/>
      <c r="I168" s="7">
        <f>IFERROR(G168/H168,"")</f>
        <v/>
      </c>
      <c r="J168" s="2" t="n"/>
    </row>
    <row r="169">
      <c r="A169" s="2" t="n"/>
      <c r="B169" s="2" t="n"/>
      <c r="C169" s="2" t="n"/>
      <c r="D169" s="2" t="n"/>
      <c r="E169" s="6" t="n"/>
      <c r="F169" s="2" t="n"/>
      <c r="G169" s="2">
        <f>IF(F169="","",IF(F169="GANADA",H169*(E169-1),IF(F169="PERDIDA",-H169,0)))</f>
        <v/>
      </c>
      <c r="H169" s="2" t="n"/>
      <c r="I169" s="7">
        <f>IFERROR(G169/H169,"")</f>
        <v/>
      </c>
      <c r="J169" s="2" t="n"/>
    </row>
    <row r="170">
      <c r="A170" s="2" t="n"/>
      <c r="B170" s="2" t="n"/>
      <c r="C170" s="2" t="n"/>
      <c r="D170" s="2" t="n"/>
      <c r="E170" s="6" t="n"/>
      <c r="F170" s="2" t="n"/>
      <c r="G170" s="2">
        <f>IF(F170="","",IF(F170="GANADA",H170*(E170-1),IF(F170="PERDIDA",-H170,0)))</f>
        <v/>
      </c>
      <c r="H170" s="2" t="n"/>
      <c r="I170" s="7">
        <f>IFERROR(G170/H170,"")</f>
        <v/>
      </c>
      <c r="J170" s="2" t="n"/>
    </row>
    <row r="171">
      <c r="A171" s="2" t="n"/>
      <c r="B171" s="2" t="n"/>
      <c r="C171" s="2" t="n"/>
      <c r="D171" s="2" t="n"/>
      <c r="E171" s="6" t="n"/>
      <c r="F171" s="2" t="n"/>
      <c r="G171" s="2">
        <f>IF(F171="","",IF(F171="GANADA",H171*(E171-1),IF(F171="PERDIDA",-H171,0)))</f>
        <v/>
      </c>
      <c r="H171" s="2" t="n"/>
      <c r="I171" s="7">
        <f>IFERROR(G171/H171,"")</f>
        <v/>
      </c>
      <c r="J171" s="2" t="n"/>
    </row>
    <row r="172">
      <c r="A172" s="2" t="n"/>
      <c r="B172" s="2" t="n"/>
      <c r="C172" s="2" t="n"/>
      <c r="D172" s="2" t="n"/>
      <c r="E172" s="6" t="n"/>
      <c r="F172" s="2" t="n"/>
      <c r="G172" s="2">
        <f>IF(F172="","",IF(F172="GANADA",H172*(E172-1),IF(F172="PERDIDA",-H172,0)))</f>
        <v/>
      </c>
      <c r="H172" s="2" t="n"/>
      <c r="I172" s="7">
        <f>IFERROR(G172/H172,"")</f>
        <v/>
      </c>
      <c r="J172" s="2" t="n"/>
    </row>
    <row r="173">
      <c r="A173" s="2" t="n"/>
      <c r="B173" s="2" t="n"/>
      <c r="C173" s="2" t="n"/>
      <c r="D173" s="2" t="n"/>
      <c r="E173" s="6" t="n"/>
      <c r="F173" s="2" t="n"/>
      <c r="G173" s="2">
        <f>IF(F173="","",IF(F173="GANADA",H173*(E173-1),IF(F173="PERDIDA",-H173,0)))</f>
        <v/>
      </c>
      <c r="H173" s="2" t="n"/>
      <c r="I173" s="7">
        <f>IFERROR(G173/H173,"")</f>
        <v/>
      </c>
      <c r="J173" s="2" t="n"/>
    </row>
    <row r="174">
      <c r="A174" s="2" t="n"/>
      <c r="B174" s="2" t="n"/>
      <c r="C174" s="2" t="n"/>
      <c r="D174" s="2" t="n"/>
      <c r="E174" s="6" t="n"/>
      <c r="F174" s="2" t="n"/>
      <c r="G174" s="2">
        <f>IF(F174="","",IF(F174="GANADA",H174*(E174-1),IF(F174="PERDIDA",-H174,0)))</f>
        <v/>
      </c>
      <c r="H174" s="2" t="n"/>
      <c r="I174" s="7">
        <f>IFERROR(G174/H174,"")</f>
        <v/>
      </c>
      <c r="J174" s="2" t="n"/>
    </row>
    <row r="175">
      <c r="A175" s="2" t="n"/>
      <c r="B175" s="2" t="n"/>
      <c r="C175" s="2" t="n"/>
      <c r="D175" s="2" t="n"/>
      <c r="E175" s="6" t="n"/>
      <c r="F175" s="2" t="n"/>
      <c r="G175" s="2">
        <f>IF(F175="","",IF(F175="GANADA",H175*(E175-1),IF(F175="PERDIDA",-H175,0)))</f>
        <v/>
      </c>
      <c r="H175" s="2" t="n"/>
      <c r="I175" s="7">
        <f>IFERROR(G175/H175,"")</f>
        <v/>
      </c>
      <c r="J175" s="2" t="n"/>
    </row>
    <row r="176">
      <c r="A176" s="2" t="n"/>
      <c r="B176" s="2" t="n"/>
      <c r="C176" s="2" t="n"/>
      <c r="D176" s="2" t="n"/>
      <c r="E176" s="6" t="n"/>
      <c r="F176" s="2" t="n"/>
      <c r="G176" s="2">
        <f>IF(F176="","",IF(F176="GANADA",H176*(E176-1),IF(F176="PERDIDA",-H176,0)))</f>
        <v/>
      </c>
      <c r="H176" s="2" t="n"/>
      <c r="I176" s="7">
        <f>IFERROR(G176/H176,"")</f>
        <v/>
      </c>
      <c r="J176" s="2" t="n"/>
    </row>
    <row r="177">
      <c r="A177" s="2" t="n"/>
      <c r="B177" s="2" t="n"/>
      <c r="C177" s="2" t="n"/>
      <c r="D177" s="2" t="n"/>
      <c r="E177" s="6" t="n"/>
      <c r="F177" s="2" t="n"/>
      <c r="G177" s="2">
        <f>IF(F177="","",IF(F177="GANADA",H177*(E177-1),IF(F177="PERDIDA",-H177,0)))</f>
        <v/>
      </c>
      <c r="H177" s="2" t="n"/>
      <c r="I177" s="7">
        <f>IFERROR(G177/H177,"")</f>
        <v/>
      </c>
      <c r="J177" s="2" t="n"/>
    </row>
    <row r="178">
      <c r="A178" s="2" t="n"/>
      <c r="B178" s="2" t="n"/>
      <c r="C178" s="2" t="n"/>
      <c r="D178" s="2" t="n"/>
      <c r="E178" s="6" t="n"/>
      <c r="F178" s="2" t="n"/>
      <c r="G178" s="2">
        <f>IF(F178="","",IF(F178="GANADA",H178*(E178-1),IF(F178="PERDIDA",-H178,0)))</f>
        <v/>
      </c>
      <c r="H178" s="2" t="n"/>
      <c r="I178" s="7">
        <f>IFERROR(G178/H178,"")</f>
        <v/>
      </c>
      <c r="J178" s="2" t="n"/>
    </row>
    <row r="179">
      <c r="A179" s="2" t="n"/>
      <c r="B179" s="2" t="n"/>
      <c r="C179" s="2" t="n"/>
      <c r="D179" s="2" t="n"/>
      <c r="E179" s="6" t="n"/>
      <c r="F179" s="2" t="n"/>
      <c r="G179" s="2">
        <f>IF(F179="","",IF(F179="GANADA",H179*(E179-1),IF(F179="PERDIDA",-H179,0)))</f>
        <v/>
      </c>
      <c r="H179" s="2" t="n"/>
      <c r="I179" s="7">
        <f>IFERROR(G179/H179,"")</f>
        <v/>
      </c>
      <c r="J179" s="2" t="n"/>
    </row>
    <row r="180">
      <c r="A180" s="2" t="n"/>
      <c r="B180" s="2" t="n"/>
      <c r="C180" s="2" t="n"/>
      <c r="D180" s="2" t="n"/>
      <c r="E180" s="6" t="n"/>
      <c r="F180" s="2" t="n"/>
      <c r="G180" s="2">
        <f>IF(F180="","",IF(F180="GANADA",H180*(E180-1),IF(F180="PERDIDA",-H180,0)))</f>
        <v/>
      </c>
      <c r="H180" s="2" t="n"/>
      <c r="I180" s="7">
        <f>IFERROR(G180/H180,"")</f>
        <v/>
      </c>
      <c r="J180" s="2" t="n"/>
    </row>
    <row r="181">
      <c r="A181" s="2" t="n"/>
      <c r="B181" s="2" t="n"/>
      <c r="C181" s="2" t="n"/>
      <c r="D181" s="2" t="n"/>
      <c r="E181" s="6" t="n"/>
      <c r="F181" s="2" t="n"/>
      <c r="G181" s="2">
        <f>IF(F181="","",IF(F181="GANADA",H181*(E181-1),IF(F181="PERDIDA",-H181,0)))</f>
        <v/>
      </c>
      <c r="H181" s="2" t="n"/>
      <c r="I181" s="7">
        <f>IFERROR(G181/H181,"")</f>
        <v/>
      </c>
      <c r="J181" s="2" t="n"/>
    </row>
    <row r="182">
      <c r="A182" s="2" t="n"/>
      <c r="B182" s="2" t="n"/>
      <c r="C182" s="2" t="n"/>
      <c r="D182" s="2" t="n"/>
      <c r="E182" s="6" t="n"/>
      <c r="F182" s="2" t="n"/>
      <c r="G182" s="2">
        <f>IF(F182="","",IF(F182="GANADA",H182*(E182-1),IF(F182="PERDIDA",-H182,0)))</f>
        <v/>
      </c>
      <c r="H182" s="2" t="n"/>
      <c r="I182" s="7">
        <f>IFERROR(G182/H182,"")</f>
        <v/>
      </c>
      <c r="J182" s="2" t="n"/>
    </row>
    <row r="183">
      <c r="A183" s="2" t="n"/>
      <c r="B183" s="2" t="n"/>
      <c r="C183" s="2" t="n"/>
      <c r="D183" s="2" t="n"/>
      <c r="E183" s="6" t="n"/>
      <c r="F183" s="2" t="n"/>
      <c r="G183" s="2">
        <f>IF(F183="","",IF(F183="GANADA",H183*(E183-1),IF(F183="PERDIDA",-H183,0)))</f>
        <v/>
      </c>
      <c r="H183" s="2" t="n"/>
      <c r="I183" s="7">
        <f>IFERROR(G183/H183,"")</f>
        <v/>
      </c>
      <c r="J183" s="2" t="n"/>
    </row>
    <row r="184">
      <c r="A184" s="2" t="n"/>
      <c r="B184" s="2" t="n"/>
      <c r="C184" s="2" t="n"/>
      <c r="D184" s="2" t="n"/>
      <c r="E184" s="6" t="n"/>
      <c r="F184" s="2" t="n"/>
      <c r="G184" s="2">
        <f>IF(F184="","",IF(F184="GANADA",H184*(E184-1),IF(F184="PERDIDA",-H184,0)))</f>
        <v/>
      </c>
      <c r="H184" s="2" t="n"/>
      <c r="I184" s="7">
        <f>IFERROR(G184/H184,"")</f>
        <v/>
      </c>
      <c r="J184" s="2" t="n"/>
    </row>
    <row r="185">
      <c r="A185" s="2" t="n"/>
      <c r="B185" s="2" t="n"/>
      <c r="C185" s="2" t="n"/>
      <c r="D185" s="2" t="n"/>
      <c r="E185" s="6" t="n"/>
      <c r="F185" s="2" t="n"/>
      <c r="G185" s="2">
        <f>IF(F185="","",IF(F185="GANADA",H185*(E185-1),IF(F185="PERDIDA",-H185,0)))</f>
        <v/>
      </c>
      <c r="H185" s="2" t="n"/>
      <c r="I185" s="7">
        <f>IFERROR(G185/H185,"")</f>
        <v/>
      </c>
      <c r="J185" s="2" t="n"/>
    </row>
    <row r="186">
      <c r="A186" s="2" t="n"/>
      <c r="B186" s="2" t="n"/>
      <c r="C186" s="2" t="n"/>
      <c r="D186" s="2" t="n"/>
      <c r="E186" s="6" t="n"/>
      <c r="F186" s="2" t="n"/>
      <c r="G186" s="2">
        <f>IF(F186="","",IF(F186="GANADA",H186*(E186-1),IF(F186="PERDIDA",-H186,0)))</f>
        <v/>
      </c>
      <c r="H186" s="2" t="n"/>
      <c r="I186" s="7">
        <f>IFERROR(G186/H186,"")</f>
        <v/>
      </c>
      <c r="J186" s="2" t="n"/>
    </row>
    <row r="187">
      <c r="A187" s="2" t="n"/>
      <c r="B187" s="2" t="n"/>
      <c r="C187" s="2" t="n"/>
      <c r="D187" s="2" t="n"/>
      <c r="E187" s="6" t="n"/>
      <c r="F187" s="2" t="n"/>
      <c r="G187" s="2">
        <f>IF(F187="","",IF(F187="GANADA",H187*(E187-1),IF(F187="PERDIDA",-H187,0)))</f>
        <v/>
      </c>
      <c r="H187" s="2" t="n"/>
      <c r="I187" s="7">
        <f>IFERROR(G187/H187,"")</f>
        <v/>
      </c>
      <c r="J187" s="2" t="n"/>
    </row>
    <row r="188">
      <c r="A188" s="2" t="n"/>
      <c r="B188" s="2" t="n"/>
      <c r="C188" s="2" t="n"/>
      <c r="D188" s="2" t="n"/>
      <c r="E188" s="6" t="n"/>
      <c r="F188" s="2" t="n"/>
      <c r="G188" s="2">
        <f>IF(F188="","",IF(F188="GANADA",H188*(E188-1),IF(F188="PERDIDA",-H188,0)))</f>
        <v/>
      </c>
      <c r="H188" s="2" t="n"/>
      <c r="I188" s="7">
        <f>IFERROR(G188/H188,"")</f>
        <v/>
      </c>
      <c r="J188" s="2" t="n"/>
    </row>
    <row r="189">
      <c r="A189" s="2" t="n"/>
      <c r="B189" s="2" t="n"/>
      <c r="C189" s="2" t="n"/>
      <c r="D189" s="2" t="n"/>
      <c r="E189" s="6" t="n"/>
      <c r="F189" s="2" t="n"/>
      <c r="G189" s="2">
        <f>IF(F189="","",IF(F189="GANADA",H189*(E189-1),IF(F189="PERDIDA",-H189,0)))</f>
        <v/>
      </c>
      <c r="H189" s="2" t="n"/>
      <c r="I189" s="7">
        <f>IFERROR(G189/H189,"")</f>
        <v/>
      </c>
      <c r="J189" s="2" t="n"/>
    </row>
    <row r="190">
      <c r="A190" s="2" t="n"/>
      <c r="B190" s="2" t="n"/>
      <c r="C190" s="2" t="n"/>
      <c r="D190" s="2" t="n"/>
      <c r="E190" s="6" t="n"/>
      <c r="F190" s="2" t="n"/>
      <c r="G190" s="2">
        <f>IF(F190="","",IF(F190="GANADA",H190*(E190-1),IF(F190="PERDIDA",-H190,0)))</f>
        <v/>
      </c>
      <c r="H190" s="2" t="n"/>
      <c r="I190" s="7">
        <f>IFERROR(G190/H190,"")</f>
        <v/>
      </c>
      <c r="J190" s="2" t="n"/>
    </row>
    <row r="191">
      <c r="A191" s="2" t="n"/>
      <c r="B191" s="2" t="n"/>
      <c r="C191" s="2" t="n"/>
      <c r="D191" s="2" t="n"/>
      <c r="E191" s="6" t="n"/>
      <c r="F191" s="2" t="n"/>
      <c r="G191" s="2">
        <f>IF(F191="","",IF(F191="GANADA",H191*(E191-1),IF(F191="PERDIDA",-H191,0)))</f>
        <v/>
      </c>
      <c r="H191" s="2" t="n"/>
      <c r="I191" s="7">
        <f>IFERROR(G191/H191,"")</f>
        <v/>
      </c>
      <c r="J191" s="2" t="n"/>
    </row>
    <row r="192">
      <c r="A192" s="2" t="n"/>
      <c r="B192" s="2" t="n"/>
      <c r="C192" s="2" t="n"/>
      <c r="D192" s="2" t="n"/>
      <c r="E192" s="6" t="n"/>
      <c r="F192" s="2" t="n"/>
      <c r="G192" s="2">
        <f>IF(F192="","",IF(F192="GANADA",H192*(E192-1),IF(F192="PERDIDA",-H192,0)))</f>
        <v/>
      </c>
      <c r="H192" s="2" t="n"/>
      <c r="I192" s="7">
        <f>IFERROR(G192/H192,"")</f>
        <v/>
      </c>
      <c r="J192" s="2" t="n"/>
    </row>
    <row r="193">
      <c r="A193" s="2" t="n"/>
      <c r="B193" s="2" t="n"/>
      <c r="C193" s="2" t="n"/>
      <c r="D193" s="2" t="n"/>
      <c r="E193" s="6" t="n"/>
      <c r="F193" s="2" t="n"/>
      <c r="G193" s="2">
        <f>IF(F193="","",IF(F193="GANADA",H193*(E193-1),IF(F193="PERDIDA",-H193,0)))</f>
        <v/>
      </c>
      <c r="H193" s="2" t="n"/>
      <c r="I193" s="7">
        <f>IFERROR(G193/H193,"")</f>
        <v/>
      </c>
      <c r="J193" s="2" t="n"/>
    </row>
    <row r="194">
      <c r="A194" s="2" t="n"/>
      <c r="B194" s="2" t="n"/>
      <c r="C194" s="2" t="n"/>
      <c r="D194" s="2" t="n"/>
      <c r="E194" s="6" t="n"/>
      <c r="F194" s="2" t="n"/>
      <c r="G194" s="2">
        <f>IF(F194="","",IF(F194="GANADA",H194*(E194-1),IF(F194="PERDIDA",-H194,0)))</f>
        <v/>
      </c>
      <c r="H194" s="2" t="n"/>
      <c r="I194" s="7">
        <f>IFERROR(G194/H194,"")</f>
        <v/>
      </c>
      <c r="J194" s="2" t="n"/>
    </row>
    <row r="195">
      <c r="A195" s="2" t="n"/>
      <c r="B195" s="2" t="n"/>
      <c r="C195" s="2" t="n"/>
      <c r="D195" s="2" t="n"/>
      <c r="E195" s="6" t="n"/>
      <c r="F195" s="2" t="n"/>
      <c r="G195" s="2">
        <f>IF(F195="","",IF(F195="GANADA",H195*(E195-1),IF(F195="PERDIDA",-H195,0)))</f>
        <v/>
      </c>
      <c r="H195" s="2" t="n"/>
      <c r="I195" s="7">
        <f>IFERROR(G195/H195,"")</f>
        <v/>
      </c>
      <c r="J195" s="2" t="n"/>
    </row>
    <row r="196">
      <c r="A196" s="2" t="n"/>
      <c r="B196" s="2" t="n"/>
      <c r="C196" s="2" t="n"/>
      <c r="D196" s="2" t="n"/>
      <c r="E196" s="6" t="n"/>
      <c r="F196" s="2" t="n"/>
      <c r="G196" s="2">
        <f>IF(F196="","",IF(F196="GANADA",H196*(E196-1),IF(F196="PERDIDA",-H196,0)))</f>
        <v/>
      </c>
      <c r="H196" s="2" t="n"/>
      <c r="I196" s="7">
        <f>IFERROR(G196/H196,"")</f>
        <v/>
      </c>
      <c r="J196" s="2" t="n"/>
    </row>
    <row r="197">
      <c r="A197" s="2" t="n"/>
      <c r="B197" s="2" t="n"/>
      <c r="C197" s="2" t="n"/>
      <c r="D197" s="2" t="n"/>
      <c r="E197" s="6" t="n"/>
      <c r="F197" s="2" t="n"/>
      <c r="G197" s="2">
        <f>IF(F197="","",IF(F197="GANADA",H197*(E197-1),IF(F197="PERDIDA",-H197,0)))</f>
        <v/>
      </c>
      <c r="H197" s="2" t="n"/>
      <c r="I197" s="7">
        <f>IFERROR(G197/H197,"")</f>
        <v/>
      </c>
      <c r="J197" s="2" t="n"/>
    </row>
    <row r="198">
      <c r="A198" s="2" t="n"/>
      <c r="B198" s="2" t="n"/>
      <c r="C198" s="2" t="n"/>
      <c r="D198" s="2" t="n"/>
      <c r="E198" s="6" t="n"/>
      <c r="F198" s="2" t="n"/>
      <c r="G198" s="2">
        <f>IF(F198="","",IF(F198="GANADA",H198*(E198-1),IF(F198="PERDIDA",-H198,0)))</f>
        <v/>
      </c>
      <c r="H198" s="2" t="n"/>
      <c r="I198" s="7">
        <f>IFERROR(G198/H198,"")</f>
        <v/>
      </c>
      <c r="J198" s="2" t="n"/>
    </row>
    <row r="199">
      <c r="A199" s="2" t="n"/>
      <c r="B199" s="2" t="n"/>
      <c r="C199" s="2" t="n"/>
      <c r="D199" s="2" t="n"/>
      <c r="E199" s="6" t="n"/>
      <c r="F199" s="2" t="n"/>
      <c r="G199" s="2">
        <f>IF(F199="","",IF(F199="GANADA",H199*(E199-1),IF(F199="PERDIDA",-H199,0)))</f>
        <v/>
      </c>
      <c r="H199" s="2" t="n"/>
      <c r="I199" s="7">
        <f>IFERROR(G199/H199,"")</f>
        <v/>
      </c>
      <c r="J199" s="2" t="n"/>
    </row>
    <row r="200">
      <c r="A200" s="2" t="n"/>
      <c r="B200" s="2" t="n"/>
      <c r="C200" s="2" t="n"/>
      <c r="D200" s="2" t="n"/>
      <c r="E200" s="6" t="n"/>
      <c r="F200" s="2" t="n"/>
      <c r="G200" s="2">
        <f>IF(F200="","",IF(F200="GANADA",H200*(E200-1),IF(F200="PERDIDA",-H200,0)))</f>
        <v/>
      </c>
      <c r="H200" s="2" t="n"/>
      <c r="I200" s="7">
        <f>IFERROR(G200/H200,"")</f>
        <v/>
      </c>
      <c r="J200" s="2" t="n"/>
    </row>
    <row r="201">
      <c r="A201" s="2" t="n"/>
      <c r="B201" s="2" t="n"/>
      <c r="C201" s="2" t="n"/>
      <c r="D201" s="2" t="n"/>
      <c r="E201" s="6" t="n"/>
      <c r="F201" s="2" t="n"/>
      <c r="G201" s="2">
        <f>IF(F201="","",IF(F201="GANADA",H201*(E201-1),IF(F201="PERDIDA",-H201,0)))</f>
        <v/>
      </c>
      <c r="H201" s="2" t="n"/>
      <c r="I201" s="7">
        <f>IFERROR(G201/H201,"")</f>
        <v/>
      </c>
      <c r="J201" s="2" t="n"/>
    </row>
    <row r="202">
      <c r="A202" s="2" t="n"/>
      <c r="B202" s="2" t="n"/>
      <c r="C202" s="2" t="n"/>
      <c r="D202" s="2" t="n"/>
      <c r="E202" s="6" t="n"/>
      <c r="F202" s="2" t="n"/>
      <c r="G202" s="2">
        <f>IF(F202="","",IF(F202="GANADA",H202*(E202-1),IF(F202="PERDIDA",-H202,0)))</f>
        <v/>
      </c>
      <c r="H202" s="2" t="n"/>
      <c r="I202" s="7">
        <f>IFERROR(G202/H202,"")</f>
        <v/>
      </c>
      <c r="J202" s="2" t="n"/>
    </row>
    <row r="203">
      <c r="A203" s="2" t="n"/>
      <c r="B203" s="2" t="n"/>
      <c r="C203" s="2" t="n"/>
      <c r="D203" s="2" t="n"/>
      <c r="E203" s="6" t="n"/>
      <c r="F203" s="2" t="n"/>
      <c r="G203" s="2">
        <f>IF(F203="","",IF(F203="GANADA",H203*(E203-1),IF(F203="PERDIDA",-H203,0)))</f>
        <v/>
      </c>
      <c r="H203" s="2" t="n"/>
      <c r="I203" s="7">
        <f>IFERROR(G203/H203,"")</f>
        <v/>
      </c>
      <c r="J203" s="2" t="n"/>
    </row>
    <row r="204">
      <c r="A204" s="2" t="n"/>
      <c r="B204" s="2" t="n"/>
      <c r="C204" s="2" t="n"/>
      <c r="D204" s="2" t="n"/>
      <c r="E204" s="6" t="n"/>
      <c r="F204" s="2" t="n"/>
      <c r="G204" s="2">
        <f>IF(F204="","",IF(F204="GANADA",H204*(E204-1),IF(F204="PERDIDA",-H204,0)))</f>
        <v/>
      </c>
      <c r="H204" s="2" t="n"/>
      <c r="I204" s="7">
        <f>IFERROR(G204/H204,"")</f>
        <v/>
      </c>
      <c r="J204" s="2" t="n"/>
    </row>
    <row r="205">
      <c r="A205" s="2" t="n"/>
      <c r="B205" s="2" t="n"/>
      <c r="C205" s="2" t="n"/>
      <c r="D205" s="2" t="n"/>
      <c r="E205" s="6" t="n"/>
      <c r="F205" s="2" t="n"/>
      <c r="G205" s="2">
        <f>IF(F205="","",IF(F205="GANADA",H205*(E205-1),IF(F205="PERDIDA",-H205,0)))</f>
        <v/>
      </c>
      <c r="H205" s="2" t="n"/>
      <c r="I205" s="7">
        <f>IFERROR(G205/H205,"")</f>
        <v/>
      </c>
      <c r="J205" s="2" t="n"/>
    </row>
    <row r="206">
      <c r="A206" s="2" t="n"/>
      <c r="B206" s="2" t="n"/>
      <c r="C206" s="2" t="n"/>
      <c r="D206" s="2" t="n"/>
      <c r="E206" s="6" t="n"/>
      <c r="F206" s="2" t="n"/>
      <c r="G206" s="2">
        <f>IF(F206="","",IF(F206="GANADA",H206*(E206-1),IF(F206="PERDIDA",-H206,0)))</f>
        <v/>
      </c>
      <c r="H206" s="2" t="n"/>
      <c r="I206" s="7">
        <f>IFERROR(G206/H206,"")</f>
        <v/>
      </c>
      <c r="J206" s="2" t="n"/>
    </row>
    <row r="207">
      <c r="A207" s="2" t="n"/>
      <c r="B207" s="2" t="n"/>
      <c r="C207" s="2" t="n"/>
      <c r="D207" s="2" t="n"/>
      <c r="E207" s="6" t="n"/>
      <c r="F207" s="2" t="n"/>
      <c r="G207" s="2">
        <f>IF(F207="","",IF(F207="GANADA",H207*(E207-1),IF(F207="PERDIDA",-H207,0)))</f>
        <v/>
      </c>
      <c r="H207" s="2" t="n"/>
      <c r="I207" s="7">
        <f>IFERROR(G207/H207,"")</f>
        <v/>
      </c>
      <c r="J207" s="2" t="n"/>
    </row>
    <row r="208">
      <c r="A208" s="2" t="n"/>
      <c r="B208" s="2" t="n"/>
      <c r="C208" s="2" t="n"/>
      <c r="D208" s="2" t="n"/>
      <c r="E208" s="6" t="n"/>
      <c r="F208" s="2" t="n"/>
      <c r="G208" s="2">
        <f>IF(F208="","",IF(F208="GANADA",H208*(E208-1),IF(F208="PERDIDA",-H208,0)))</f>
        <v/>
      </c>
      <c r="H208" s="2" t="n"/>
      <c r="I208" s="7">
        <f>IFERROR(G208/H208,"")</f>
        <v/>
      </c>
      <c r="J208" s="2" t="n"/>
    </row>
    <row r="209">
      <c r="A209" s="2" t="n"/>
      <c r="B209" s="2" t="n"/>
      <c r="C209" s="2" t="n"/>
      <c r="D209" s="2" t="n"/>
      <c r="E209" s="6" t="n"/>
      <c r="F209" s="2" t="n"/>
      <c r="G209" s="2">
        <f>IF(F209="","",IF(F209="GANADA",H209*(E209-1),IF(F209="PERDIDA",-H209,0)))</f>
        <v/>
      </c>
      <c r="H209" s="2" t="n"/>
      <c r="I209" s="7">
        <f>IFERROR(G209/H209,"")</f>
        <v/>
      </c>
      <c r="J209" s="2" t="n"/>
    </row>
    <row r="210">
      <c r="A210" s="2" t="n"/>
      <c r="B210" s="2" t="n"/>
      <c r="C210" s="2" t="n"/>
      <c r="D210" s="2" t="n"/>
      <c r="E210" s="6" t="n"/>
      <c r="F210" s="2" t="n"/>
      <c r="G210" s="2">
        <f>IF(F210="","",IF(F210="GANADA",H210*(E210-1),IF(F210="PERDIDA",-H210,0)))</f>
        <v/>
      </c>
      <c r="H210" s="2" t="n"/>
      <c r="I210" s="7">
        <f>IFERROR(G210/H210,"")</f>
        <v/>
      </c>
      <c r="J210" s="2" t="n"/>
    </row>
    <row r="211">
      <c r="A211" s="2" t="n"/>
      <c r="B211" s="2" t="n"/>
      <c r="C211" s="2" t="n"/>
      <c r="D211" s="2" t="n"/>
      <c r="E211" s="6" t="n"/>
      <c r="F211" s="2" t="n"/>
      <c r="G211" s="2">
        <f>IF(F211="","",IF(F211="GANADA",H211*(E211-1),IF(F211="PERDIDA",-H211,0)))</f>
        <v/>
      </c>
      <c r="H211" s="2" t="n"/>
      <c r="I211" s="7">
        <f>IFERROR(G211/H211,"")</f>
        <v/>
      </c>
      <c r="J211" s="2" t="n"/>
    </row>
    <row r="212">
      <c r="A212" s="2" t="n"/>
      <c r="B212" s="2" t="n"/>
      <c r="C212" s="2" t="n"/>
      <c r="D212" s="2" t="n"/>
      <c r="E212" s="6" t="n"/>
      <c r="F212" s="2" t="n"/>
      <c r="G212" s="2">
        <f>IF(F212="","",IF(F212="GANADA",H212*(E212-1),IF(F212="PERDIDA",-H212,0)))</f>
        <v/>
      </c>
      <c r="H212" s="2" t="n"/>
      <c r="I212" s="7">
        <f>IFERROR(G212/H212,"")</f>
        <v/>
      </c>
      <c r="J212" s="2" t="n"/>
    </row>
    <row r="213">
      <c r="A213" s="2" t="n"/>
      <c r="B213" s="2" t="n"/>
      <c r="C213" s="2" t="n"/>
      <c r="D213" s="2" t="n"/>
      <c r="E213" s="6" t="n"/>
      <c r="F213" s="2" t="n"/>
      <c r="G213" s="2">
        <f>IF(F213="","",IF(F213="GANADA",H213*(E213-1),IF(F213="PERDIDA",-H213,0)))</f>
        <v/>
      </c>
      <c r="H213" s="2" t="n"/>
      <c r="I213" s="7">
        <f>IFERROR(G213/H213,"")</f>
        <v/>
      </c>
      <c r="J213" s="2" t="n"/>
    </row>
    <row r="214">
      <c r="A214" s="2" t="n"/>
      <c r="B214" s="2" t="n"/>
      <c r="C214" s="2" t="n"/>
      <c r="D214" s="2" t="n"/>
      <c r="E214" s="6" t="n"/>
      <c r="F214" s="2" t="n"/>
      <c r="G214" s="2">
        <f>IF(F214="","",IF(F214="GANADA",H214*(E214-1),IF(F214="PERDIDA",-H214,0)))</f>
        <v/>
      </c>
      <c r="H214" s="2" t="n"/>
      <c r="I214" s="7">
        <f>IFERROR(G214/H214,"")</f>
        <v/>
      </c>
      <c r="J214" s="2" t="n"/>
    </row>
    <row r="215">
      <c r="A215" s="2" t="n"/>
      <c r="B215" s="2" t="n"/>
      <c r="C215" s="2" t="n"/>
      <c r="D215" s="2" t="n"/>
      <c r="E215" s="6" t="n"/>
      <c r="F215" s="2" t="n"/>
      <c r="G215" s="2">
        <f>IF(F215="","",IF(F215="GANADA",H215*(E215-1),IF(F215="PERDIDA",-H215,0)))</f>
        <v/>
      </c>
      <c r="H215" s="2" t="n"/>
      <c r="I215" s="7">
        <f>IFERROR(G215/H215,"")</f>
        <v/>
      </c>
      <c r="J215" s="2" t="n"/>
    </row>
    <row r="216">
      <c r="A216" s="2" t="n"/>
      <c r="B216" s="2" t="n"/>
      <c r="C216" s="2" t="n"/>
      <c r="D216" s="2" t="n"/>
      <c r="E216" s="6" t="n"/>
      <c r="F216" s="2" t="n"/>
      <c r="G216" s="2">
        <f>IF(F216="","",IF(F216="GANADA",H216*(E216-1),IF(F216="PERDIDA",-H216,0)))</f>
        <v/>
      </c>
      <c r="H216" s="2" t="n"/>
      <c r="I216" s="7">
        <f>IFERROR(G216/H216,"")</f>
        <v/>
      </c>
      <c r="J216" s="2" t="n"/>
    </row>
    <row r="217">
      <c r="A217" s="2" t="n"/>
      <c r="B217" s="2" t="n"/>
      <c r="C217" s="2" t="n"/>
      <c r="D217" s="2" t="n"/>
      <c r="E217" s="6" t="n"/>
      <c r="F217" s="2" t="n"/>
      <c r="G217" s="2">
        <f>IF(F217="","",IF(F217="GANADA",H217*(E217-1),IF(F217="PERDIDA",-H217,0)))</f>
        <v/>
      </c>
      <c r="H217" s="2" t="n"/>
      <c r="I217" s="7">
        <f>IFERROR(G217/H217,"")</f>
        <v/>
      </c>
      <c r="J217" s="2" t="n"/>
    </row>
    <row r="218">
      <c r="A218" s="2" t="n"/>
      <c r="B218" s="2" t="n"/>
      <c r="C218" s="2" t="n"/>
      <c r="D218" s="2" t="n"/>
      <c r="E218" s="6" t="n"/>
      <c r="F218" s="2" t="n"/>
      <c r="G218" s="2">
        <f>IF(F218="","",IF(F218="GANADA",H218*(E218-1),IF(F218="PERDIDA",-H218,0)))</f>
        <v/>
      </c>
      <c r="H218" s="2" t="n"/>
      <c r="I218" s="7">
        <f>IFERROR(G218/H218,"")</f>
        <v/>
      </c>
      <c r="J218" s="2" t="n"/>
    </row>
    <row r="219">
      <c r="A219" s="2" t="n"/>
      <c r="B219" s="2" t="n"/>
      <c r="C219" s="2" t="n"/>
      <c r="D219" s="2" t="n"/>
      <c r="E219" s="6" t="n"/>
      <c r="F219" s="2" t="n"/>
      <c r="G219" s="2">
        <f>IF(F219="","",IF(F219="GANADA",H219*(E219-1),IF(F219="PERDIDA",-H219,0)))</f>
        <v/>
      </c>
      <c r="H219" s="2" t="n"/>
      <c r="I219" s="7">
        <f>IFERROR(G219/H219,"")</f>
        <v/>
      </c>
      <c r="J219" s="2" t="n"/>
    </row>
    <row r="220">
      <c r="A220" s="2" t="n"/>
      <c r="B220" s="2" t="n"/>
      <c r="C220" s="2" t="n"/>
      <c r="D220" s="2" t="n"/>
      <c r="E220" s="6" t="n"/>
      <c r="F220" s="2" t="n"/>
      <c r="G220" s="2">
        <f>IF(F220="","",IF(F220="GANADA",H220*(E220-1),IF(F220="PERDIDA",-H220,0)))</f>
        <v/>
      </c>
      <c r="H220" s="2" t="n"/>
      <c r="I220" s="7">
        <f>IFERROR(G220/H220,"")</f>
        <v/>
      </c>
      <c r="J220" s="2" t="n"/>
    </row>
    <row r="221">
      <c r="A221" s="2" t="n"/>
      <c r="B221" s="2" t="n"/>
      <c r="C221" s="2" t="n"/>
      <c r="D221" s="2" t="n"/>
      <c r="E221" s="6" t="n"/>
      <c r="F221" s="2" t="n"/>
      <c r="G221" s="2">
        <f>IF(F221="","",IF(F221="GANADA",H221*(E221-1),IF(F221="PERDIDA",-H221,0)))</f>
        <v/>
      </c>
      <c r="H221" s="2" t="n"/>
      <c r="I221" s="7">
        <f>IFERROR(G221/H221,"")</f>
        <v/>
      </c>
      <c r="J221" s="2" t="n"/>
    </row>
    <row r="222">
      <c r="A222" s="2" t="n"/>
      <c r="B222" s="2" t="n"/>
      <c r="C222" s="2" t="n"/>
      <c r="D222" s="2" t="n"/>
      <c r="E222" s="6" t="n"/>
      <c r="F222" s="2" t="n"/>
      <c r="G222" s="2">
        <f>IF(F222="","",IF(F222="GANADA",H222*(E222-1),IF(F222="PERDIDA",-H222,0)))</f>
        <v/>
      </c>
      <c r="H222" s="2" t="n"/>
      <c r="I222" s="7">
        <f>IFERROR(G222/H222,"")</f>
        <v/>
      </c>
      <c r="J222" s="2" t="n"/>
    </row>
    <row r="223">
      <c r="A223" s="2" t="n"/>
      <c r="B223" s="2" t="n"/>
      <c r="C223" s="2" t="n"/>
      <c r="D223" s="2" t="n"/>
      <c r="E223" s="6" t="n"/>
      <c r="F223" s="2" t="n"/>
      <c r="G223" s="2">
        <f>IF(F223="","",IF(F223="GANADA",H223*(E223-1),IF(F223="PERDIDA",-H223,0)))</f>
        <v/>
      </c>
      <c r="H223" s="2" t="n"/>
      <c r="I223" s="7">
        <f>IFERROR(G223/H223,"")</f>
        <v/>
      </c>
      <c r="J223" s="2" t="n"/>
    </row>
    <row r="224">
      <c r="A224" s="2" t="n"/>
      <c r="B224" s="2" t="n"/>
      <c r="C224" s="2" t="n"/>
      <c r="D224" s="2" t="n"/>
      <c r="E224" s="6" t="n"/>
      <c r="F224" s="2" t="n"/>
      <c r="G224" s="2">
        <f>IF(F224="","",IF(F224="GANADA",H224*(E224-1),IF(F224="PERDIDA",-H224,0)))</f>
        <v/>
      </c>
      <c r="H224" s="2" t="n"/>
      <c r="I224" s="7">
        <f>IFERROR(G224/H224,"")</f>
        <v/>
      </c>
      <c r="J224" s="2" t="n"/>
    </row>
    <row r="225">
      <c r="A225" s="2" t="n"/>
      <c r="B225" s="2" t="n"/>
      <c r="C225" s="2" t="n"/>
      <c r="D225" s="2" t="n"/>
      <c r="E225" s="6" t="n"/>
      <c r="F225" s="2" t="n"/>
      <c r="G225" s="2">
        <f>IF(F225="","",IF(F225="GANADA",H225*(E225-1),IF(F225="PERDIDA",-H225,0)))</f>
        <v/>
      </c>
      <c r="H225" s="2" t="n"/>
      <c r="I225" s="7">
        <f>IFERROR(G225/H225,"")</f>
        <v/>
      </c>
      <c r="J225" s="2" t="n"/>
    </row>
    <row r="226">
      <c r="A226" s="2" t="n"/>
      <c r="B226" s="2" t="n"/>
      <c r="C226" s="2" t="n"/>
      <c r="D226" s="2" t="n"/>
      <c r="E226" s="6" t="n"/>
      <c r="F226" s="2" t="n"/>
      <c r="G226" s="2">
        <f>IF(F226="","",IF(F226="GANADA",H226*(E226-1),IF(F226="PERDIDA",-H226,0)))</f>
        <v/>
      </c>
      <c r="H226" s="2" t="n"/>
      <c r="I226" s="7">
        <f>IFERROR(G226/H226,"")</f>
        <v/>
      </c>
      <c r="J226" s="2" t="n"/>
    </row>
    <row r="227">
      <c r="A227" s="2" t="n"/>
      <c r="B227" s="2" t="n"/>
      <c r="C227" s="2" t="n"/>
      <c r="D227" s="2" t="n"/>
      <c r="E227" s="6" t="n"/>
      <c r="F227" s="2" t="n"/>
      <c r="G227" s="2">
        <f>IF(F227="","",IF(F227="GANADA",H227*(E227-1),IF(F227="PERDIDA",-H227,0)))</f>
        <v/>
      </c>
      <c r="H227" s="2" t="n"/>
      <c r="I227" s="7">
        <f>IFERROR(G227/H227,"")</f>
        <v/>
      </c>
      <c r="J227" s="2" t="n"/>
    </row>
    <row r="228">
      <c r="A228" s="2" t="n"/>
      <c r="B228" s="2" t="n"/>
      <c r="C228" s="2" t="n"/>
      <c r="D228" s="2" t="n"/>
      <c r="E228" s="6" t="n"/>
      <c r="F228" s="2" t="n"/>
      <c r="G228" s="2">
        <f>IF(F228="","",IF(F228="GANADA",H228*(E228-1),IF(F228="PERDIDA",-H228,0)))</f>
        <v/>
      </c>
      <c r="H228" s="2" t="n"/>
      <c r="I228" s="7">
        <f>IFERROR(G228/H228,"")</f>
        <v/>
      </c>
      <c r="J228" s="2" t="n"/>
    </row>
    <row r="229">
      <c r="A229" s="2" t="n"/>
      <c r="B229" s="2" t="n"/>
      <c r="C229" s="2" t="n"/>
      <c r="D229" s="2" t="n"/>
      <c r="E229" s="6" t="n"/>
      <c r="F229" s="2" t="n"/>
      <c r="G229" s="2">
        <f>IF(F229="","",IF(F229="GANADA",H229*(E229-1),IF(F229="PERDIDA",-H229,0)))</f>
        <v/>
      </c>
      <c r="H229" s="2" t="n"/>
      <c r="I229" s="7">
        <f>IFERROR(G229/H229,"")</f>
        <v/>
      </c>
      <c r="J229" s="2" t="n"/>
    </row>
    <row r="230">
      <c r="A230" s="2" t="n"/>
      <c r="B230" s="2" t="n"/>
      <c r="C230" s="2" t="n"/>
      <c r="D230" s="2" t="n"/>
      <c r="E230" s="6" t="n"/>
      <c r="F230" s="2" t="n"/>
      <c r="G230" s="2">
        <f>IF(F230="","",IF(F230="GANADA",H230*(E230-1),IF(F230="PERDIDA",-H230,0)))</f>
        <v/>
      </c>
      <c r="H230" s="2" t="n"/>
      <c r="I230" s="7">
        <f>IFERROR(G230/H230,"")</f>
        <v/>
      </c>
      <c r="J230" s="2" t="n"/>
    </row>
    <row r="231">
      <c r="A231" s="2" t="n"/>
      <c r="B231" s="2" t="n"/>
      <c r="C231" s="2" t="n"/>
      <c r="D231" s="2" t="n"/>
      <c r="E231" s="6" t="n"/>
      <c r="F231" s="2" t="n"/>
      <c r="G231" s="2">
        <f>IF(F231="","",IF(F231="GANADA",H231*(E231-1),IF(F231="PERDIDA",-H231,0)))</f>
        <v/>
      </c>
      <c r="H231" s="2" t="n"/>
      <c r="I231" s="7">
        <f>IFERROR(G231/H231,"")</f>
        <v/>
      </c>
      <c r="J231" s="2" t="n"/>
    </row>
    <row r="232">
      <c r="A232" s="2" t="n"/>
      <c r="B232" s="2" t="n"/>
      <c r="C232" s="2" t="n"/>
      <c r="D232" s="2" t="n"/>
      <c r="E232" s="6" t="n"/>
      <c r="F232" s="2" t="n"/>
      <c r="G232" s="2">
        <f>IF(F232="","",IF(F232="GANADA",H232*(E232-1),IF(F232="PERDIDA",-H232,0)))</f>
        <v/>
      </c>
      <c r="H232" s="2" t="n"/>
      <c r="I232" s="7">
        <f>IFERROR(G232/H232,"")</f>
        <v/>
      </c>
      <c r="J232" s="2" t="n"/>
    </row>
    <row r="233">
      <c r="A233" s="2" t="n"/>
      <c r="B233" s="2" t="n"/>
      <c r="C233" s="2" t="n"/>
      <c r="D233" s="2" t="n"/>
      <c r="E233" s="6" t="n"/>
      <c r="F233" s="2" t="n"/>
      <c r="G233" s="2">
        <f>IF(F233="","",IF(F233="GANADA",H233*(E233-1),IF(F233="PERDIDA",-H233,0)))</f>
        <v/>
      </c>
      <c r="H233" s="2" t="n"/>
      <c r="I233" s="7">
        <f>IFERROR(G233/H233,"")</f>
        <v/>
      </c>
      <c r="J233" s="2" t="n"/>
    </row>
    <row r="234">
      <c r="A234" s="2" t="n"/>
      <c r="B234" s="2" t="n"/>
      <c r="C234" s="2" t="n"/>
      <c r="D234" s="2" t="n"/>
      <c r="E234" s="6" t="n"/>
      <c r="F234" s="2" t="n"/>
      <c r="G234" s="2">
        <f>IF(F234="","",IF(F234="GANADA",H234*(E234-1),IF(F234="PERDIDA",-H234,0)))</f>
        <v/>
      </c>
      <c r="H234" s="2" t="n"/>
      <c r="I234" s="7">
        <f>IFERROR(G234/H234,"")</f>
        <v/>
      </c>
      <c r="J234" s="2" t="n"/>
    </row>
    <row r="235">
      <c r="A235" s="2" t="n"/>
      <c r="B235" s="2" t="n"/>
      <c r="C235" s="2" t="n"/>
      <c r="D235" s="2" t="n"/>
      <c r="E235" s="6" t="n"/>
      <c r="F235" s="2" t="n"/>
      <c r="G235" s="2">
        <f>IF(F235="","",IF(F235="GANADA",H235*(E235-1),IF(F235="PERDIDA",-H235,0)))</f>
        <v/>
      </c>
      <c r="H235" s="2" t="n"/>
      <c r="I235" s="7">
        <f>IFERROR(G235/H235,"")</f>
        <v/>
      </c>
      <c r="J235" s="2" t="n"/>
    </row>
    <row r="236">
      <c r="A236" s="2" t="n"/>
      <c r="B236" s="2" t="n"/>
      <c r="C236" s="2" t="n"/>
      <c r="D236" s="2" t="n"/>
      <c r="E236" s="6" t="n"/>
      <c r="F236" s="2" t="n"/>
      <c r="G236" s="2">
        <f>IF(F236="","",IF(F236="GANADA",H236*(E236-1),IF(F236="PERDIDA",-H236,0)))</f>
        <v/>
      </c>
      <c r="H236" s="2" t="n"/>
      <c r="I236" s="7">
        <f>IFERROR(G236/H236,"")</f>
        <v/>
      </c>
      <c r="J236" s="2" t="n"/>
    </row>
    <row r="237">
      <c r="A237" s="2" t="n"/>
      <c r="B237" s="2" t="n"/>
      <c r="C237" s="2" t="n"/>
      <c r="D237" s="2" t="n"/>
      <c r="E237" s="6" t="n"/>
      <c r="F237" s="2" t="n"/>
      <c r="G237" s="2">
        <f>IF(F237="","",IF(F237="GANADA",H237*(E237-1),IF(F237="PERDIDA",-H237,0)))</f>
        <v/>
      </c>
      <c r="H237" s="2" t="n"/>
      <c r="I237" s="7">
        <f>IFERROR(G237/H237,"")</f>
        <v/>
      </c>
      <c r="J237" s="2" t="n"/>
    </row>
    <row r="238">
      <c r="A238" s="2" t="n"/>
      <c r="B238" s="2" t="n"/>
      <c r="C238" s="2" t="n"/>
      <c r="D238" s="2" t="n"/>
      <c r="E238" s="6" t="n"/>
      <c r="F238" s="2" t="n"/>
      <c r="G238" s="2">
        <f>IF(F238="","",IF(F238="GANADA",H238*(E238-1),IF(F238="PERDIDA",-H238,0)))</f>
        <v/>
      </c>
      <c r="H238" s="2" t="n"/>
      <c r="I238" s="7">
        <f>IFERROR(G238/H238,"")</f>
        <v/>
      </c>
      <c r="J238" s="2" t="n"/>
    </row>
    <row r="239">
      <c r="A239" s="2" t="n"/>
      <c r="B239" s="2" t="n"/>
      <c r="C239" s="2" t="n"/>
      <c r="D239" s="2" t="n"/>
      <c r="E239" s="6" t="n"/>
      <c r="F239" s="2" t="n"/>
      <c r="G239" s="2">
        <f>IF(F239="","",IF(F239="GANADA",H239*(E239-1),IF(F239="PERDIDA",-H239,0)))</f>
        <v/>
      </c>
      <c r="H239" s="2" t="n"/>
      <c r="I239" s="7">
        <f>IFERROR(G239/H239,"")</f>
        <v/>
      </c>
      <c r="J239" s="2" t="n"/>
    </row>
    <row r="240">
      <c r="A240" s="2" t="n"/>
      <c r="B240" s="2" t="n"/>
      <c r="C240" s="2" t="n"/>
      <c r="D240" s="2" t="n"/>
      <c r="E240" s="6" t="n"/>
      <c r="F240" s="2" t="n"/>
      <c r="G240" s="2">
        <f>IF(F240="","",IF(F240="GANADA",H240*(E240-1),IF(F240="PERDIDA",-H240,0)))</f>
        <v/>
      </c>
      <c r="H240" s="2" t="n"/>
      <c r="I240" s="7">
        <f>IFERROR(G240/H240,"")</f>
        <v/>
      </c>
      <c r="J240" s="2" t="n"/>
    </row>
    <row r="241">
      <c r="A241" s="2" t="n"/>
      <c r="B241" s="2" t="n"/>
      <c r="C241" s="2" t="n"/>
      <c r="D241" s="2" t="n"/>
      <c r="E241" s="6" t="n"/>
      <c r="F241" s="2" t="n"/>
      <c r="G241" s="2">
        <f>IF(F241="","",IF(F241="GANADA",H241*(E241-1),IF(F241="PERDIDA",-H241,0)))</f>
        <v/>
      </c>
      <c r="H241" s="2" t="n"/>
      <c r="I241" s="7">
        <f>IFERROR(G241/H241,"")</f>
        <v/>
      </c>
      <c r="J241" s="2" t="n"/>
    </row>
    <row r="242">
      <c r="A242" s="2" t="n"/>
      <c r="B242" s="2" t="n"/>
      <c r="C242" s="2" t="n"/>
      <c r="D242" s="2" t="n"/>
      <c r="E242" s="6" t="n"/>
      <c r="F242" s="2" t="n"/>
      <c r="G242" s="2">
        <f>IF(F242="","",IF(F242="GANADA",H242*(E242-1),IF(F242="PERDIDA",-H242,0)))</f>
        <v/>
      </c>
      <c r="H242" s="2" t="n"/>
      <c r="I242" s="7">
        <f>IFERROR(G242/H242,"")</f>
        <v/>
      </c>
      <c r="J242" s="2" t="n"/>
    </row>
    <row r="243">
      <c r="A243" s="2" t="n"/>
      <c r="B243" s="2" t="n"/>
      <c r="C243" s="2" t="n"/>
      <c r="D243" s="2" t="n"/>
      <c r="E243" s="6" t="n"/>
      <c r="F243" s="2" t="n"/>
      <c r="G243" s="2">
        <f>IF(F243="","",IF(F243="GANADA",H243*(E243-1),IF(F243="PERDIDA",-H243,0)))</f>
        <v/>
      </c>
      <c r="H243" s="2" t="n"/>
      <c r="I243" s="7">
        <f>IFERROR(G243/H243,"")</f>
        <v/>
      </c>
      <c r="J243" s="2" t="n"/>
    </row>
    <row r="244">
      <c r="A244" s="2" t="n"/>
      <c r="B244" s="2" t="n"/>
      <c r="C244" s="2" t="n"/>
      <c r="D244" s="2" t="n"/>
      <c r="E244" s="6" t="n"/>
      <c r="F244" s="2" t="n"/>
      <c r="G244" s="2">
        <f>IF(F244="","",IF(F244="GANADA",H244*(E244-1),IF(F244="PERDIDA",-H244,0)))</f>
        <v/>
      </c>
      <c r="H244" s="2" t="n"/>
      <c r="I244" s="7">
        <f>IFERROR(G244/H244,"")</f>
        <v/>
      </c>
      <c r="J244" s="2" t="n"/>
    </row>
    <row r="245">
      <c r="A245" s="2" t="n"/>
      <c r="B245" s="2" t="n"/>
      <c r="C245" s="2" t="n"/>
      <c r="D245" s="2" t="n"/>
      <c r="E245" s="6" t="n"/>
      <c r="F245" s="2" t="n"/>
      <c r="G245" s="2">
        <f>IF(F245="","",IF(F245="GANADA",H245*(E245-1),IF(F245="PERDIDA",-H245,0)))</f>
        <v/>
      </c>
      <c r="H245" s="2" t="n"/>
      <c r="I245" s="7">
        <f>IFERROR(G245/H245,"")</f>
        <v/>
      </c>
      <c r="J245" s="2" t="n"/>
    </row>
    <row r="246">
      <c r="A246" s="2" t="n"/>
      <c r="B246" s="2" t="n"/>
      <c r="C246" s="2" t="n"/>
      <c r="D246" s="2" t="n"/>
      <c r="E246" s="6" t="n"/>
      <c r="F246" s="2" t="n"/>
      <c r="G246" s="2">
        <f>IF(F246="","",IF(F246="GANADA",H246*(E246-1),IF(F246="PERDIDA",-H246,0)))</f>
        <v/>
      </c>
      <c r="H246" s="2" t="n"/>
      <c r="I246" s="7">
        <f>IFERROR(G246/H246,"")</f>
        <v/>
      </c>
      <c r="J246" s="2" t="n"/>
    </row>
    <row r="247">
      <c r="A247" s="2" t="n"/>
      <c r="B247" s="2" t="n"/>
      <c r="C247" s="2" t="n"/>
      <c r="D247" s="2" t="n"/>
      <c r="E247" s="6" t="n"/>
      <c r="F247" s="2" t="n"/>
      <c r="G247" s="2">
        <f>IF(F247="","",IF(F247="GANADA",H247*(E247-1),IF(F247="PERDIDA",-H247,0)))</f>
        <v/>
      </c>
      <c r="H247" s="2" t="n"/>
      <c r="I247" s="7">
        <f>IFERROR(G247/H247,"")</f>
        <v/>
      </c>
      <c r="J247" s="2" t="n"/>
    </row>
    <row r="248">
      <c r="A248" s="2" t="n"/>
      <c r="B248" s="2" t="n"/>
      <c r="C248" s="2" t="n"/>
      <c r="D248" s="2" t="n"/>
      <c r="E248" s="6" t="n"/>
      <c r="F248" s="2" t="n"/>
      <c r="G248" s="2">
        <f>IF(F248="","",IF(F248="GANADA",H248*(E248-1),IF(F248="PERDIDA",-H248,0)))</f>
        <v/>
      </c>
      <c r="H248" s="2" t="n"/>
      <c r="I248" s="7">
        <f>IFERROR(G248/H248,"")</f>
        <v/>
      </c>
      <c r="J248" s="2" t="n"/>
    </row>
    <row r="249">
      <c r="A249" s="2" t="n"/>
      <c r="B249" s="2" t="n"/>
      <c r="C249" s="2" t="n"/>
      <c r="D249" s="2" t="n"/>
      <c r="E249" s="6" t="n"/>
      <c r="F249" s="2" t="n"/>
      <c r="G249" s="2">
        <f>IF(F249="","",IF(F249="GANADA",H249*(E249-1),IF(F249="PERDIDA",-H249,0)))</f>
        <v/>
      </c>
      <c r="H249" s="2" t="n"/>
      <c r="I249" s="7">
        <f>IFERROR(G249/H249,"")</f>
        <v/>
      </c>
      <c r="J249" s="2" t="n"/>
    </row>
    <row r="250">
      <c r="A250" s="2" t="n"/>
      <c r="B250" s="2" t="n"/>
      <c r="C250" s="2" t="n"/>
      <c r="D250" s="2" t="n"/>
      <c r="E250" s="6" t="n"/>
      <c r="F250" s="2" t="n"/>
      <c r="G250" s="2">
        <f>IF(F250="","",IF(F250="GANADA",H250*(E250-1),IF(F250="PERDIDA",-H250,0)))</f>
        <v/>
      </c>
      <c r="H250" s="2" t="n"/>
      <c r="I250" s="7">
        <f>IFERROR(G250/H250,"")</f>
        <v/>
      </c>
      <c r="J250" s="2" t="n"/>
    </row>
    <row r="251">
      <c r="A251" s="2" t="n"/>
      <c r="B251" s="2" t="n"/>
      <c r="C251" s="2" t="n"/>
      <c r="D251" s="2" t="n"/>
      <c r="E251" s="6" t="n"/>
      <c r="F251" s="2" t="n"/>
      <c r="G251" s="2">
        <f>IF(F251="","",IF(F251="GANADA",H251*(E251-1),IF(F251="PERDIDA",-H251,0)))</f>
        <v/>
      </c>
      <c r="H251" s="2" t="n"/>
      <c r="I251" s="7">
        <f>IFERROR(G251/H251,"")</f>
        <v/>
      </c>
      <c r="J251" s="2" t="n"/>
    </row>
    <row r="252">
      <c r="A252" s="2" t="n"/>
      <c r="B252" s="2" t="n"/>
      <c r="C252" s="2" t="n"/>
      <c r="D252" s="2" t="n"/>
      <c r="E252" s="6" t="n"/>
      <c r="F252" s="2" t="n"/>
      <c r="G252" s="2">
        <f>IF(F252="","",IF(F252="GANADA",H252*(E252-1),IF(F252="PERDIDA",-H252,0)))</f>
        <v/>
      </c>
      <c r="H252" s="2" t="n"/>
      <c r="I252" s="7">
        <f>IFERROR(G252/H252,"")</f>
        <v/>
      </c>
      <c r="J252" s="2" t="n"/>
    </row>
    <row r="253">
      <c r="A253" s="2" t="n"/>
      <c r="B253" s="2" t="n"/>
      <c r="C253" s="2" t="n"/>
      <c r="D253" s="2" t="n"/>
      <c r="E253" s="6" t="n"/>
      <c r="F253" s="2" t="n"/>
      <c r="G253" s="2">
        <f>IF(F253="","",IF(F253="GANADA",H253*(E253-1),IF(F253="PERDIDA",-H253,0)))</f>
        <v/>
      </c>
      <c r="H253" s="2" t="n"/>
      <c r="I253" s="7">
        <f>IFERROR(G253/H253,"")</f>
        <v/>
      </c>
      <c r="J253" s="2" t="n"/>
    </row>
    <row r="254">
      <c r="A254" s="2" t="n"/>
      <c r="B254" s="2" t="n"/>
      <c r="C254" s="2" t="n"/>
      <c r="D254" s="2" t="n"/>
      <c r="E254" s="6" t="n"/>
      <c r="F254" s="2" t="n"/>
      <c r="G254" s="2">
        <f>IF(F254="","",IF(F254="GANADA",H254*(E254-1),IF(F254="PERDIDA",-H254,0)))</f>
        <v/>
      </c>
      <c r="H254" s="2" t="n"/>
      <c r="I254" s="7">
        <f>IFERROR(G254/H254,"")</f>
        <v/>
      </c>
      <c r="J254" s="2" t="n"/>
    </row>
    <row r="255">
      <c r="A255" s="2" t="n"/>
      <c r="B255" s="2" t="n"/>
      <c r="C255" s="2" t="n"/>
      <c r="D255" s="2" t="n"/>
      <c r="E255" s="6" t="n"/>
      <c r="F255" s="2" t="n"/>
      <c r="G255" s="2">
        <f>IF(F255="","",IF(F255="GANADA",H255*(E255-1),IF(F255="PERDIDA",-H255,0)))</f>
        <v/>
      </c>
      <c r="H255" s="2" t="n"/>
      <c r="I255" s="7">
        <f>IFERROR(G255/H255,"")</f>
        <v/>
      </c>
      <c r="J255" s="2" t="n"/>
    </row>
    <row r="256">
      <c r="A256" s="2" t="n"/>
      <c r="B256" s="2" t="n"/>
      <c r="C256" s="2" t="n"/>
      <c r="D256" s="2" t="n"/>
      <c r="E256" s="6" t="n"/>
      <c r="F256" s="2" t="n"/>
      <c r="G256" s="2">
        <f>IF(F256="","",IF(F256="GANADA",H256*(E256-1),IF(F256="PERDIDA",-H256,0)))</f>
        <v/>
      </c>
      <c r="H256" s="2" t="n"/>
      <c r="I256" s="7">
        <f>IFERROR(G256/H256,"")</f>
        <v/>
      </c>
      <c r="J256" s="2" t="n"/>
    </row>
    <row r="257">
      <c r="A257" s="2" t="n"/>
      <c r="B257" s="2" t="n"/>
      <c r="C257" s="2" t="n"/>
      <c r="D257" s="2" t="n"/>
      <c r="E257" s="6" t="n"/>
      <c r="F257" s="2" t="n"/>
      <c r="G257" s="2">
        <f>IF(F257="","",IF(F257="GANADA",H257*(E257-1),IF(F257="PERDIDA",-H257,0)))</f>
        <v/>
      </c>
      <c r="H257" s="2" t="n"/>
      <c r="I257" s="7">
        <f>IFERROR(G257/H257,"")</f>
        <v/>
      </c>
      <c r="J257" s="2" t="n"/>
    </row>
    <row r="258">
      <c r="A258" s="2" t="n"/>
      <c r="B258" s="2" t="n"/>
      <c r="C258" s="2" t="n"/>
      <c r="D258" s="2" t="n"/>
      <c r="E258" s="6" t="n"/>
      <c r="F258" s="2" t="n"/>
      <c r="G258" s="2">
        <f>IF(F258="","",IF(F258="GANADA",H258*(E258-1),IF(F258="PERDIDA",-H258,0)))</f>
        <v/>
      </c>
      <c r="H258" s="2" t="n"/>
      <c r="I258" s="7">
        <f>IFERROR(G258/H258,"")</f>
        <v/>
      </c>
      <c r="J258" s="2" t="n"/>
    </row>
    <row r="259">
      <c r="A259" s="2" t="n"/>
      <c r="B259" s="2" t="n"/>
      <c r="C259" s="2" t="n"/>
      <c r="D259" s="2" t="n"/>
      <c r="E259" s="6" t="n"/>
      <c r="F259" s="2" t="n"/>
      <c r="G259" s="2">
        <f>IF(F259="","",IF(F259="GANADA",H259*(E259-1),IF(F259="PERDIDA",-H259,0)))</f>
        <v/>
      </c>
      <c r="H259" s="2" t="n"/>
      <c r="I259" s="7">
        <f>IFERROR(G259/H259,"")</f>
        <v/>
      </c>
      <c r="J259" s="2" t="n"/>
    </row>
    <row r="260">
      <c r="A260" s="2" t="n"/>
      <c r="B260" s="2" t="n"/>
      <c r="C260" s="2" t="n"/>
      <c r="D260" s="2" t="n"/>
      <c r="E260" s="6" t="n"/>
      <c r="F260" s="2" t="n"/>
      <c r="G260" s="2">
        <f>IF(F260="","",IF(F260="GANADA",H260*(E260-1),IF(F260="PERDIDA",-H260,0)))</f>
        <v/>
      </c>
      <c r="H260" s="2" t="n"/>
      <c r="I260" s="7">
        <f>IFERROR(G260/H260,"")</f>
        <v/>
      </c>
      <c r="J260" s="2" t="n"/>
    </row>
    <row r="261">
      <c r="A261" s="2" t="n"/>
      <c r="B261" s="2" t="n"/>
      <c r="C261" s="2" t="n"/>
      <c r="D261" s="2" t="n"/>
      <c r="E261" s="6" t="n"/>
      <c r="F261" s="2" t="n"/>
      <c r="G261" s="2">
        <f>IF(F261="","",IF(F261="GANADA",H261*(E261-1),IF(F261="PERDIDA",-H261,0)))</f>
        <v/>
      </c>
      <c r="H261" s="2" t="n"/>
      <c r="I261" s="7">
        <f>IFERROR(G261/H261,"")</f>
        <v/>
      </c>
      <c r="J261" s="2" t="n"/>
    </row>
    <row r="262">
      <c r="A262" s="2" t="n"/>
      <c r="B262" s="2" t="n"/>
      <c r="C262" s="2" t="n"/>
      <c r="D262" s="2" t="n"/>
      <c r="E262" s="6" t="n"/>
      <c r="F262" s="2" t="n"/>
      <c r="G262" s="2">
        <f>IF(F262="","",IF(F262="GANADA",H262*(E262-1),IF(F262="PERDIDA",-H262,0)))</f>
        <v/>
      </c>
      <c r="H262" s="2" t="n"/>
      <c r="I262" s="7">
        <f>IFERROR(G262/H262,"")</f>
        <v/>
      </c>
      <c r="J262" s="2" t="n"/>
    </row>
    <row r="263">
      <c r="A263" s="2" t="n"/>
      <c r="B263" s="2" t="n"/>
      <c r="C263" s="2" t="n"/>
      <c r="D263" s="2" t="n"/>
      <c r="E263" s="6" t="n"/>
      <c r="F263" s="2" t="n"/>
      <c r="G263" s="2">
        <f>IF(F263="","",IF(F263="GANADA",H263*(E263-1),IF(F263="PERDIDA",-H263,0)))</f>
        <v/>
      </c>
      <c r="H263" s="2" t="n"/>
      <c r="I263" s="7">
        <f>IFERROR(G263/H263,"")</f>
        <v/>
      </c>
      <c r="J263" s="2" t="n"/>
    </row>
    <row r="264">
      <c r="A264" s="2" t="n"/>
      <c r="B264" s="2" t="n"/>
      <c r="C264" s="2" t="n"/>
      <c r="D264" s="2" t="n"/>
      <c r="E264" s="6" t="n"/>
      <c r="F264" s="2" t="n"/>
      <c r="G264" s="2">
        <f>IF(F264="","",IF(F264="GANADA",H264*(E264-1),IF(F264="PERDIDA",-H264,0)))</f>
        <v/>
      </c>
      <c r="H264" s="2" t="n"/>
      <c r="I264" s="7">
        <f>IFERROR(G264/H264,"")</f>
        <v/>
      </c>
      <c r="J264" s="2" t="n"/>
    </row>
    <row r="265">
      <c r="A265" s="2" t="n"/>
      <c r="B265" s="2" t="n"/>
      <c r="C265" s="2" t="n"/>
      <c r="D265" s="2" t="n"/>
      <c r="E265" s="6" t="n"/>
      <c r="F265" s="2" t="n"/>
      <c r="G265" s="2">
        <f>IF(F265="","",IF(F265="GANADA",H265*(E265-1),IF(F265="PERDIDA",-H265,0)))</f>
        <v/>
      </c>
      <c r="H265" s="2" t="n"/>
      <c r="I265" s="7">
        <f>IFERROR(G265/H265,"")</f>
        <v/>
      </c>
      <c r="J265" s="2" t="n"/>
    </row>
    <row r="266">
      <c r="A266" s="2" t="n"/>
      <c r="B266" s="2" t="n"/>
      <c r="C266" s="2" t="n"/>
      <c r="D266" s="2" t="n"/>
      <c r="E266" s="6" t="n"/>
      <c r="F266" s="2" t="n"/>
      <c r="G266" s="2">
        <f>IF(F266="","",IF(F266="GANADA",H266*(E266-1),IF(F266="PERDIDA",-H266,0)))</f>
        <v/>
      </c>
      <c r="H266" s="2" t="n"/>
      <c r="I266" s="7">
        <f>IFERROR(G266/H266,"")</f>
        <v/>
      </c>
      <c r="J266" s="2" t="n"/>
    </row>
    <row r="267">
      <c r="A267" s="2" t="n"/>
      <c r="B267" s="2" t="n"/>
      <c r="C267" s="2" t="n"/>
      <c r="D267" s="2" t="n"/>
      <c r="E267" s="6" t="n"/>
      <c r="F267" s="2" t="n"/>
      <c r="G267" s="2">
        <f>IF(F267="","",IF(F267="GANADA",H267*(E267-1),IF(F267="PERDIDA",-H267,0)))</f>
        <v/>
      </c>
      <c r="H267" s="2" t="n"/>
      <c r="I267" s="7">
        <f>IFERROR(G267/H267,"")</f>
        <v/>
      </c>
      <c r="J267" s="2" t="n"/>
    </row>
    <row r="268">
      <c r="A268" s="2" t="n"/>
      <c r="B268" s="2" t="n"/>
      <c r="C268" s="2" t="n"/>
      <c r="D268" s="2" t="n"/>
      <c r="E268" s="6" t="n"/>
      <c r="F268" s="2" t="n"/>
      <c r="G268" s="2">
        <f>IF(F268="","",IF(F268="GANADA",H268*(E268-1),IF(F268="PERDIDA",-H268,0)))</f>
        <v/>
      </c>
      <c r="H268" s="2" t="n"/>
      <c r="I268" s="7">
        <f>IFERROR(G268/H268,"")</f>
        <v/>
      </c>
      <c r="J268" s="2" t="n"/>
    </row>
    <row r="269">
      <c r="A269" s="2" t="n"/>
      <c r="B269" s="2" t="n"/>
      <c r="C269" s="2" t="n"/>
      <c r="D269" s="2" t="n"/>
      <c r="E269" s="6" t="n"/>
      <c r="F269" s="2" t="n"/>
      <c r="G269" s="2">
        <f>IF(F269="","",IF(F269="GANADA",H269*(E269-1),IF(F269="PERDIDA",-H269,0)))</f>
        <v/>
      </c>
      <c r="H269" s="2" t="n"/>
      <c r="I269" s="7">
        <f>IFERROR(G269/H269,"")</f>
        <v/>
      </c>
      <c r="J269" s="2" t="n"/>
    </row>
    <row r="270">
      <c r="A270" s="2" t="n"/>
      <c r="B270" s="2" t="n"/>
      <c r="C270" s="2" t="n"/>
      <c r="D270" s="2" t="n"/>
      <c r="E270" s="6" t="n"/>
      <c r="F270" s="2" t="n"/>
      <c r="G270" s="2">
        <f>IF(F270="","",IF(F270="GANADA",H270*(E270-1),IF(F270="PERDIDA",-H270,0)))</f>
        <v/>
      </c>
      <c r="H270" s="2" t="n"/>
      <c r="I270" s="7">
        <f>IFERROR(G270/H270,"")</f>
        <v/>
      </c>
      <c r="J270" s="2" t="n"/>
    </row>
    <row r="271">
      <c r="A271" s="2" t="n"/>
      <c r="B271" s="2" t="n"/>
      <c r="C271" s="2" t="n"/>
      <c r="D271" s="2" t="n"/>
      <c r="E271" s="6" t="n"/>
      <c r="F271" s="2" t="n"/>
      <c r="G271" s="2">
        <f>IF(F271="","",IF(F271="GANADA",H271*(E271-1),IF(F271="PERDIDA",-H271,0)))</f>
        <v/>
      </c>
      <c r="H271" s="2" t="n"/>
      <c r="I271" s="7">
        <f>IFERROR(G271/H271,"")</f>
        <v/>
      </c>
      <c r="J271" s="2" t="n"/>
    </row>
    <row r="272">
      <c r="A272" s="2" t="n"/>
      <c r="B272" s="2" t="n"/>
      <c r="C272" s="2" t="n"/>
      <c r="D272" s="2" t="n"/>
      <c r="E272" s="6" t="n"/>
      <c r="F272" s="2" t="n"/>
      <c r="G272" s="2">
        <f>IF(F272="","",IF(F272="GANADA",H272*(E272-1),IF(F272="PERDIDA",-H272,0)))</f>
        <v/>
      </c>
      <c r="H272" s="2" t="n"/>
      <c r="I272" s="7">
        <f>IFERROR(G272/H272,"")</f>
        <v/>
      </c>
      <c r="J272" s="2" t="n"/>
    </row>
    <row r="273">
      <c r="A273" s="2" t="n"/>
      <c r="B273" s="2" t="n"/>
      <c r="C273" s="2" t="n"/>
      <c r="D273" s="2" t="n"/>
      <c r="E273" s="6" t="n"/>
      <c r="F273" s="2" t="n"/>
      <c r="G273" s="2">
        <f>IF(F273="","",IF(F273="GANADA",H273*(E273-1),IF(F273="PERDIDA",-H273,0)))</f>
        <v/>
      </c>
      <c r="H273" s="2" t="n"/>
      <c r="I273" s="7">
        <f>IFERROR(G273/H273,"")</f>
        <v/>
      </c>
      <c r="J273" s="2" t="n"/>
    </row>
    <row r="274">
      <c r="A274" s="2" t="n"/>
      <c r="B274" s="2" t="n"/>
      <c r="C274" s="2" t="n"/>
      <c r="D274" s="2" t="n"/>
      <c r="E274" s="6" t="n"/>
      <c r="F274" s="2" t="n"/>
      <c r="G274" s="2">
        <f>IF(F274="","",IF(F274="GANADA",H274*(E274-1),IF(F274="PERDIDA",-H274,0)))</f>
        <v/>
      </c>
      <c r="H274" s="2" t="n"/>
      <c r="I274" s="7">
        <f>IFERROR(G274/H274,"")</f>
        <v/>
      </c>
      <c r="J274" s="2" t="n"/>
    </row>
    <row r="275">
      <c r="A275" s="2" t="n"/>
      <c r="B275" s="2" t="n"/>
      <c r="C275" s="2" t="n"/>
      <c r="D275" s="2" t="n"/>
      <c r="E275" s="6" t="n"/>
      <c r="F275" s="2" t="n"/>
      <c r="G275" s="2">
        <f>IF(F275="","",IF(F275="GANADA",H275*(E275-1),IF(F275="PERDIDA",-H275,0)))</f>
        <v/>
      </c>
      <c r="H275" s="2" t="n"/>
      <c r="I275" s="7">
        <f>IFERROR(G275/H275,"")</f>
        <v/>
      </c>
      <c r="J275" s="2" t="n"/>
    </row>
    <row r="276">
      <c r="A276" s="2" t="n"/>
      <c r="B276" s="2" t="n"/>
      <c r="C276" s="2" t="n"/>
      <c r="D276" s="2" t="n"/>
      <c r="E276" s="6" t="n"/>
      <c r="F276" s="2" t="n"/>
      <c r="G276" s="2">
        <f>IF(F276="","",IF(F276="GANADA",H276*(E276-1),IF(F276="PERDIDA",-H276,0)))</f>
        <v/>
      </c>
      <c r="H276" s="2" t="n"/>
      <c r="I276" s="7">
        <f>IFERROR(G276/H276,"")</f>
        <v/>
      </c>
      <c r="J276" s="2" t="n"/>
    </row>
    <row r="277">
      <c r="A277" s="2" t="n"/>
      <c r="B277" s="2" t="n"/>
      <c r="C277" s="2" t="n"/>
      <c r="D277" s="2" t="n"/>
      <c r="E277" s="6" t="n"/>
      <c r="F277" s="2" t="n"/>
      <c r="G277" s="2">
        <f>IF(F277="","",IF(F277="GANADA",H277*(E277-1),IF(F277="PERDIDA",-H277,0)))</f>
        <v/>
      </c>
      <c r="H277" s="2" t="n"/>
      <c r="I277" s="7">
        <f>IFERROR(G277/H277,"")</f>
        <v/>
      </c>
      <c r="J277" s="2" t="n"/>
    </row>
    <row r="278">
      <c r="A278" s="2" t="n"/>
      <c r="B278" s="2" t="n"/>
      <c r="C278" s="2" t="n"/>
      <c r="D278" s="2" t="n"/>
      <c r="E278" s="6" t="n"/>
      <c r="F278" s="2" t="n"/>
      <c r="G278" s="2">
        <f>IF(F278="","",IF(F278="GANADA",H278*(E278-1),IF(F278="PERDIDA",-H278,0)))</f>
        <v/>
      </c>
      <c r="H278" s="2" t="n"/>
      <c r="I278" s="7">
        <f>IFERROR(G278/H278,"")</f>
        <v/>
      </c>
      <c r="J278" s="2" t="n"/>
    </row>
    <row r="279">
      <c r="A279" s="2" t="n"/>
      <c r="B279" s="2" t="n"/>
      <c r="C279" s="2" t="n"/>
      <c r="D279" s="2" t="n"/>
      <c r="E279" s="6" t="n"/>
      <c r="F279" s="2" t="n"/>
      <c r="G279" s="2">
        <f>IF(F279="","",IF(F279="GANADA",H279*(E279-1),IF(F279="PERDIDA",-H279,0)))</f>
        <v/>
      </c>
      <c r="H279" s="2" t="n"/>
      <c r="I279" s="7">
        <f>IFERROR(G279/H279,"")</f>
        <v/>
      </c>
      <c r="J279" s="2" t="n"/>
    </row>
    <row r="280">
      <c r="A280" s="2" t="n"/>
      <c r="B280" s="2" t="n"/>
      <c r="C280" s="2" t="n"/>
      <c r="D280" s="2" t="n"/>
      <c r="E280" s="6" t="n"/>
      <c r="F280" s="2" t="n"/>
      <c r="G280" s="2">
        <f>IF(F280="","",IF(F280="GANADA",H280*(E280-1),IF(F280="PERDIDA",-H280,0)))</f>
        <v/>
      </c>
      <c r="H280" s="2" t="n"/>
      <c r="I280" s="7">
        <f>IFERROR(G280/H280,"")</f>
        <v/>
      </c>
      <c r="J280" s="2" t="n"/>
    </row>
    <row r="281">
      <c r="A281" s="2" t="n"/>
      <c r="B281" s="2" t="n"/>
      <c r="C281" s="2" t="n"/>
      <c r="D281" s="2" t="n"/>
      <c r="E281" s="6" t="n"/>
      <c r="F281" s="2" t="n"/>
      <c r="G281" s="2">
        <f>IF(F281="","",IF(F281="GANADA",H281*(E281-1),IF(F281="PERDIDA",-H281,0)))</f>
        <v/>
      </c>
      <c r="H281" s="2" t="n"/>
      <c r="I281" s="7">
        <f>IFERROR(G281/H281,"")</f>
        <v/>
      </c>
      <c r="J281" s="2" t="n"/>
    </row>
    <row r="282">
      <c r="A282" s="2" t="n"/>
      <c r="B282" s="2" t="n"/>
      <c r="C282" s="2" t="n"/>
      <c r="D282" s="2" t="n"/>
      <c r="E282" s="6" t="n"/>
      <c r="F282" s="2" t="n"/>
      <c r="G282" s="2">
        <f>IF(F282="","",IF(F282="GANADA",H282*(E282-1),IF(F282="PERDIDA",-H282,0)))</f>
        <v/>
      </c>
      <c r="H282" s="2" t="n"/>
      <c r="I282" s="7">
        <f>IFERROR(G282/H282,"")</f>
        <v/>
      </c>
      <c r="J282" s="2" t="n"/>
    </row>
    <row r="283">
      <c r="A283" s="2" t="n"/>
      <c r="B283" s="2" t="n"/>
      <c r="C283" s="2" t="n"/>
      <c r="D283" s="2" t="n"/>
      <c r="E283" s="6" t="n"/>
      <c r="F283" s="2" t="n"/>
      <c r="G283" s="2">
        <f>IF(F283="","",IF(F283="GANADA",H283*(E283-1),IF(F283="PERDIDA",-H283,0)))</f>
        <v/>
      </c>
      <c r="H283" s="2" t="n"/>
      <c r="I283" s="7">
        <f>IFERROR(G283/H283,"")</f>
        <v/>
      </c>
      <c r="J283" s="2" t="n"/>
    </row>
    <row r="284">
      <c r="A284" s="2" t="n"/>
      <c r="B284" s="2" t="n"/>
      <c r="C284" s="2" t="n"/>
      <c r="D284" s="2" t="n"/>
      <c r="E284" s="6" t="n"/>
      <c r="F284" s="2" t="n"/>
      <c r="G284" s="2">
        <f>IF(F284="","",IF(F284="GANADA",H284*(E284-1),IF(F284="PERDIDA",-H284,0)))</f>
        <v/>
      </c>
      <c r="H284" s="2" t="n"/>
      <c r="I284" s="7">
        <f>IFERROR(G284/H284,"")</f>
        <v/>
      </c>
      <c r="J284" s="2" t="n"/>
    </row>
    <row r="285">
      <c r="A285" s="2" t="n"/>
      <c r="B285" s="2" t="n"/>
      <c r="C285" s="2" t="n"/>
      <c r="D285" s="2" t="n"/>
      <c r="E285" s="6" t="n"/>
      <c r="F285" s="2" t="n"/>
      <c r="G285" s="2">
        <f>IF(F285="","",IF(F285="GANADA",H285*(E285-1),IF(F285="PERDIDA",-H285,0)))</f>
        <v/>
      </c>
      <c r="H285" s="2" t="n"/>
      <c r="I285" s="7">
        <f>IFERROR(G285/H285,"")</f>
        <v/>
      </c>
      <c r="J285" s="2" t="n"/>
    </row>
    <row r="286">
      <c r="A286" s="2" t="n"/>
      <c r="B286" s="2" t="n"/>
      <c r="C286" s="2" t="n"/>
      <c r="D286" s="2" t="n"/>
      <c r="E286" s="6" t="n"/>
      <c r="F286" s="2" t="n"/>
      <c r="G286" s="2">
        <f>IF(F286="","",IF(F286="GANADA",H286*(E286-1),IF(F286="PERDIDA",-H286,0)))</f>
        <v/>
      </c>
      <c r="H286" s="2" t="n"/>
      <c r="I286" s="7">
        <f>IFERROR(G286/H286,"")</f>
        <v/>
      </c>
      <c r="J286" s="2" t="n"/>
    </row>
    <row r="287">
      <c r="A287" s="2" t="n"/>
      <c r="B287" s="2" t="n"/>
      <c r="C287" s="2" t="n"/>
      <c r="D287" s="2" t="n"/>
      <c r="E287" s="6" t="n"/>
      <c r="F287" s="2" t="n"/>
      <c r="G287" s="2">
        <f>IF(F287="","",IF(F287="GANADA",H287*(E287-1),IF(F287="PERDIDA",-H287,0)))</f>
        <v/>
      </c>
      <c r="H287" s="2" t="n"/>
      <c r="I287" s="7">
        <f>IFERROR(G287/H287,"")</f>
        <v/>
      </c>
      <c r="J287" s="2" t="n"/>
    </row>
    <row r="288">
      <c r="A288" s="2" t="n"/>
      <c r="B288" s="2" t="n"/>
      <c r="C288" s="2" t="n"/>
      <c r="D288" s="2" t="n"/>
      <c r="E288" s="6" t="n"/>
      <c r="F288" s="2" t="n"/>
      <c r="G288" s="2">
        <f>IF(F288="","",IF(F288="GANADA",H288*(E288-1),IF(F288="PERDIDA",-H288,0)))</f>
        <v/>
      </c>
      <c r="H288" s="2" t="n"/>
      <c r="I288" s="7">
        <f>IFERROR(G288/H288,"")</f>
        <v/>
      </c>
      <c r="J288" s="2" t="n"/>
    </row>
    <row r="289">
      <c r="A289" s="2" t="n"/>
      <c r="B289" s="2" t="n"/>
      <c r="C289" s="2" t="n"/>
      <c r="D289" s="2" t="n"/>
      <c r="E289" s="6" t="n"/>
      <c r="F289" s="2" t="n"/>
      <c r="G289" s="2">
        <f>IF(F289="","",IF(F289="GANADA",H289*(E289-1),IF(F289="PERDIDA",-H289,0)))</f>
        <v/>
      </c>
      <c r="H289" s="2" t="n"/>
      <c r="I289" s="7">
        <f>IFERROR(G289/H289,"")</f>
        <v/>
      </c>
      <c r="J289" s="2" t="n"/>
    </row>
    <row r="290">
      <c r="A290" s="2" t="n"/>
      <c r="B290" s="2" t="n"/>
      <c r="C290" s="2" t="n"/>
      <c r="D290" s="2" t="n"/>
      <c r="E290" s="6" t="n"/>
      <c r="F290" s="2" t="n"/>
      <c r="G290" s="2">
        <f>IF(F290="","",IF(F290="GANADA",H290*(E290-1),IF(F290="PERDIDA",-H290,0)))</f>
        <v/>
      </c>
      <c r="H290" s="2" t="n"/>
      <c r="I290" s="7">
        <f>IFERROR(G290/H290,"")</f>
        <v/>
      </c>
      <c r="J290" s="2" t="n"/>
    </row>
    <row r="291">
      <c r="A291" s="2" t="n"/>
      <c r="B291" s="2" t="n"/>
      <c r="C291" s="2" t="n"/>
      <c r="D291" s="2" t="n"/>
      <c r="E291" s="6" t="n"/>
      <c r="F291" s="2" t="n"/>
      <c r="G291" s="2">
        <f>IF(F291="","",IF(F291="GANADA",H291*(E291-1),IF(F291="PERDIDA",-H291,0)))</f>
        <v/>
      </c>
      <c r="H291" s="2" t="n"/>
      <c r="I291" s="7">
        <f>IFERROR(G291/H291,"")</f>
        <v/>
      </c>
      <c r="J291" s="2" t="n"/>
    </row>
    <row r="292">
      <c r="A292" s="2" t="n"/>
      <c r="B292" s="2" t="n"/>
      <c r="C292" s="2" t="n"/>
      <c r="D292" s="2" t="n"/>
      <c r="E292" s="6" t="n"/>
      <c r="F292" s="2" t="n"/>
      <c r="G292" s="2">
        <f>IF(F292="","",IF(F292="GANADA",H292*(E292-1),IF(F292="PERDIDA",-H292,0)))</f>
        <v/>
      </c>
      <c r="H292" s="2" t="n"/>
      <c r="I292" s="7">
        <f>IFERROR(G292/H292,"")</f>
        <v/>
      </c>
      <c r="J292" s="2" t="n"/>
    </row>
    <row r="293">
      <c r="A293" s="2" t="n"/>
      <c r="B293" s="2" t="n"/>
      <c r="C293" s="2" t="n"/>
      <c r="D293" s="2" t="n"/>
      <c r="E293" s="6" t="n"/>
      <c r="F293" s="2" t="n"/>
      <c r="G293" s="2">
        <f>IF(F293="","",IF(F293="GANADA",H293*(E293-1),IF(F293="PERDIDA",-H293,0)))</f>
        <v/>
      </c>
      <c r="H293" s="2" t="n"/>
      <c r="I293" s="7">
        <f>IFERROR(G293/H293,"")</f>
        <v/>
      </c>
      <c r="J293" s="2" t="n"/>
    </row>
    <row r="294">
      <c r="A294" s="2" t="n"/>
      <c r="B294" s="2" t="n"/>
      <c r="C294" s="2" t="n"/>
      <c r="D294" s="2" t="n"/>
      <c r="E294" s="6" t="n"/>
      <c r="F294" s="2" t="n"/>
      <c r="G294" s="2">
        <f>IF(F294="","",IF(F294="GANADA",H294*(E294-1),IF(F294="PERDIDA",-H294,0)))</f>
        <v/>
      </c>
      <c r="H294" s="2" t="n"/>
      <c r="I294" s="7">
        <f>IFERROR(G294/H294,"")</f>
        <v/>
      </c>
      <c r="J294" s="2" t="n"/>
    </row>
    <row r="295">
      <c r="A295" s="2" t="n"/>
      <c r="B295" s="2" t="n"/>
      <c r="C295" s="2" t="n"/>
      <c r="D295" s="2" t="n"/>
      <c r="E295" s="6" t="n"/>
      <c r="F295" s="2" t="n"/>
      <c r="G295" s="2">
        <f>IF(F295="","",IF(F295="GANADA",H295*(E295-1),IF(F295="PERDIDA",-H295,0)))</f>
        <v/>
      </c>
      <c r="H295" s="2" t="n"/>
      <c r="I295" s="7">
        <f>IFERROR(G295/H295,"")</f>
        <v/>
      </c>
      <c r="J295" s="2" t="n"/>
    </row>
    <row r="296">
      <c r="A296" s="2" t="n"/>
      <c r="B296" s="2" t="n"/>
      <c r="C296" s="2" t="n"/>
      <c r="D296" s="2" t="n"/>
      <c r="E296" s="6" t="n"/>
      <c r="F296" s="2" t="n"/>
      <c r="G296" s="2">
        <f>IF(F296="","",IF(F296="GANADA",H296*(E296-1),IF(F296="PERDIDA",-H296,0)))</f>
        <v/>
      </c>
      <c r="H296" s="2" t="n"/>
      <c r="I296" s="7">
        <f>IFERROR(G296/H296,"")</f>
        <v/>
      </c>
      <c r="J296" s="2" t="n"/>
    </row>
    <row r="297">
      <c r="A297" s="2" t="n"/>
      <c r="B297" s="2" t="n"/>
      <c r="C297" s="2" t="n"/>
      <c r="D297" s="2" t="n"/>
      <c r="E297" s="6" t="n"/>
      <c r="F297" s="2" t="n"/>
      <c r="G297" s="2">
        <f>IF(F297="","",IF(F297="GANADA",H297*(E297-1),IF(F297="PERDIDA",-H297,0)))</f>
        <v/>
      </c>
      <c r="H297" s="2" t="n"/>
      <c r="I297" s="7">
        <f>IFERROR(G297/H297,"")</f>
        <v/>
      </c>
      <c r="J297" s="2" t="n"/>
    </row>
    <row r="298">
      <c r="A298" s="2" t="n"/>
      <c r="B298" s="2" t="n"/>
      <c r="C298" s="2" t="n"/>
      <c r="D298" s="2" t="n"/>
      <c r="E298" s="6" t="n"/>
      <c r="F298" s="2" t="n"/>
      <c r="G298" s="2">
        <f>IF(F298="","",IF(F298="GANADA",H298*(E298-1),IF(F298="PERDIDA",-H298,0)))</f>
        <v/>
      </c>
      <c r="H298" s="2" t="n"/>
      <c r="I298" s="7">
        <f>IFERROR(G298/H298,"")</f>
        <v/>
      </c>
      <c r="J298" s="2" t="n"/>
    </row>
    <row r="299">
      <c r="A299" s="2" t="n"/>
      <c r="B299" s="2" t="n"/>
      <c r="C299" s="2" t="n"/>
      <c r="D299" s="2" t="n"/>
      <c r="E299" s="6" t="n"/>
      <c r="F299" s="2" t="n"/>
      <c r="G299" s="2">
        <f>IF(F299="","",IF(F299="GANADA",H299*(E299-1),IF(F299="PERDIDA",-H299,0)))</f>
        <v/>
      </c>
      <c r="H299" s="2" t="n"/>
      <c r="I299" s="7">
        <f>IFERROR(G299/H299,"")</f>
        <v/>
      </c>
      <c r="J299" s="2" t="n"/>
    </row>
    <row r="300">
      <c r="A300" s="2" t="n"/>
      <c r="B300" s="2" t="n"/>
      <c r="C300" s="2" t="n"/>
      <c r="D300" s="2" t="n"/>
      <c r="E300" s="6" t="n"/>
      <c r="F300" s="2" t="n"/>
      <c r="G300" s="2">
        <f>IF(F300="","",IF(F300="GANADA",H300*(E300-1),IF(F300="PERDIDA",-H300,0)))</f>
        <v/>
      </c>
      <c r="H300" s="2" t="n"/>
      <c r="I300" s="7">
        <f>IFERROR(G300/H300,"")</f>
        <v/>
      </c>
      <c r="J300" s="2" t="n"/>
    </row>
    <row r="301">
      <c r="A301" s="2" t="n"/>
      <c r="B301" s="2" t="n"/>
      <c r="C301" s="2" t="n"/>
      <c r="D301" s="2" t="n"/>
      <c r="E301" s="6" t="n"/>
      <c r="F301" s="2" t="n"/>
      <c r="G301" s="2">
        <f>IF(F301="","",IF(F301="GANADA",H301*(E301-1),IF(F301="PERDIDA",-H301,0)))</f>
        <v/>
      </c>
      <c r="H301" s="2" t="n"/>
      <c r="I301" s="7">
        <f>IFERROR(G301/H301,"")</f>
        <v/>
      </c>
      <c r="J301" s="2" t="n"/>
    </row>
  </sheetData>
  <autoFilter ref="A1:J301"/>
  <dataValidations count="1">
    <dataValidation sqref="F2:F301" showDropDown="0" showInputMessage="0" showErrorMessage="0" allowBlank="1" type="list">
      <formula1>"GANADA,PERDIDA,ANULADA,PENDIENTE"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9" t="inlineStr">
        <is>
          <t>DASHBOARD — BOT DE APUESTAS V2.2</t>
        </is>
      </c>
    </row>
    <row r="3">
      <c r="A3" s="10" t="inlineStr">
        <is>
          <t>Alertas fuertes</t>
        </is>
      </c>
      <c r="B3" s="2">
        <f>COUNTIF(MOTOR!T:T,"ALERTA FUERTE")</f>
        <v/>
      </c>
      <c r="D3" s="14" t="inlineStr">
        <is>
          <t>Alertas fuertes MOTOR</t>
        </is>
      </c>
    </row>
    <row r="4">
      <c r="A4" s="10" t="inlineStr">
        <is>
          <t>Alertas medias</t>
        </is>
      </c>
      <c r="B4" s="2">
        <f>COUNTIF(MOTOR!T:T,"ALERTA MEDIA")</f>
        <v/>
      </c>
      <c r="D4" s="14" t="inlineStr">
        <is>
          <t>Alertas medias MOTOR</t>
        </is>
      </c>
    </row>
    <row r="5">
      <c r="A5" s="10" t="inlineStr">
        <is>
          <t>Apuestas registradas</t>
        </is>
      </c>
      <c r="B5" s="7">
        <f>IFERROR(AVERAGE(MOTOR!R:R),0)</f>
        <v/>
      </c>
      <c r="D5" s="14" t="inlineStr">
        <is>
          <t>EV promedio MOTOR</t>
        </is>
      </c>
    </row>
    <row r="6">
      <c r="A6" s="10" t="inlineStr">
        <is>
          <t>Ganadas</t>
        </is>
      </c>
      <c r="B6" s="2">
        <f>COUNTIF(RESULTADOS!F:F,"GANADA")</f>
        <v/>
      </c>
    </row>
    <row r="7">
      <c r="A7" s="10" t="inlineStr">
        <is>
          <t>Perdidas</t>
        </is>
      </c>
      <c r="B7" s="2">
        <f>COUNTIF(RESULTADOS!F:F,"PERDIDA")</f>
        <v/>
      </c>
    </row>
    <row r="8">
      <c r="A8" s="10" t="inlineStr">
        <is>
          <t>% acierto</t>
        </is>
      </c>
      <c r="B8" s="7">
        <f>IFERROR(B6/(B6+B7),0)</f>
        <v/>
      </c>
    </row>
    <row r="9">
      <c r="A9" s="10" t="inlineStr">
        <is>
          <t>ROI acumulado</t>
        </is>
      </c>
      <c r="B9" s="7">
        <f>IFERROR(SUM(RESULTADOS!G:G)/SUM(RESULTADOS!H:H),0)</f>
        <v/>
      </c>
    </row>
    <row r="10">
      <c r="A10" s="10" t="inlineStr">
        <is>
          <t>EV promedio</t>
        </is>
      </c>
      <c r="B10" s="7">
        <f>IFERROR(AVERAGE(EVALUADOR!V:V),0)</f>
        <v/>
      </c>
    </row>
    <row r="12">
      <c r="A12" s="11" t="inlineStr">
        <is>
          <t>FLUJO DE USO</t>
        </is>
      </c>
    </row>
    <row r="13">
      <c r="A13" t="inlineStr">
        <is>
          <t>1. Carga partido, mercado y cuota en EVALUADOR.</t>
        </is>
      </c>
    </row>
    <row r="14">
      <c r="A14" t="inlineStr">
        <is>
          <t>2. Coloca valores 0–1 en los criterios estadísticos.</t>
        </is>
      </c>
    </row>
    <row r="15">
      <c r="A15" t="inlineStr">
        <is>
          <t>3. Ingresa la probabilidad estimada por V2.2.</t>
        </is>
      </c>
    </row>
    <row r="16">
      <c r="A16" t="inlineStr">
        <is>
          <t>4. El modelo calcula probabilidad implícita, margen y EV.</t>
        </is>
      </c>
    </row>
    <row r="17">
      <c r="A17" t="inlineStr">
        <is>
          <t>5. DECISIÓN devuelve ALERTA FUERTE / MEDIA / NO APTO.</t>
        </is>
      </c>
    </row>
    <row r="18">
      <c r="A18" t="inlineStr">
        <is>
          <t>6. Copia las alertas a RESULTADOS y registra GANADA/PERDIDA.</t>
        </is>
      </c>
    </row>
    <row r="19">
      <c r="A19" t="inlineStr">
        <is>
          <t>7. DASHBOARD mide acierto, ROI y EV.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date</t>
        </is>
      </c>
      <c r="C1" t="inlineStr">
        <is>
          <t>league</t>
        </is>
      </c>
      <c r="D1" t="inlineStr">
        <is>
          <t>country</t>
        </is>
      </c>
      <c r="E1" t="inlineStr">
        <is>
          <t>home</t>
        </is>
      </c>
      <c r="F1" t="inlineStr">
        <is>
          <t>away</t>
        </is>
      </c>
      <c r="G1" t="inlineStr">
        <is>
          <t>side</t>
        </is>
      </c>
      <c r="H1" t="inlineStr">
        <is>
          <t>team</t>
        </is>
      </c>
      <c r="I1" t="inlineStr">
        <is>
          <t>shots_on_goal</t>
        </is>
      </c>
      <c r="J1" t="inlineStr">
        <is>
          <t>shots_off_goal</t>
        </is>
      </c>
      <c r="K1" t="inlineStr">
        <is>
          <t>total_shots</t>
        </is>
      </c>
      <c r="L1" t="inlineStr">
        <is>
          <t>blocked_shots</t>
        </is>
      </c>
      <c r="M1" t="inlineStr">
        <is>
          <t>corners</t>
        </is>
      </c>
      <c r="N1" t="inlineStr">
        <is>
          <t>fouls</t>
        </is>
      </c>
      <c r="O1" t="inlineStr">
        <is>
          <t>offsides</t>
        </is>
      </c>
      <c r="P1" t="inlineStr">
        <is>
          <t>ball_possession</t>
        </is>
      </c>
      <c r="Q1" t="inlineStr">
        <is>
          <t>yellow_cards</t>
        </is>
      </c>
      <c r="R1" t="inlineStr">
        <is>
          <t>red_cards</t>
        </is>
      </c>
      <c r="S1" t="inlineStr">
        <is>
          <t>passes</t>
        </is>
      </c>
      <c r="T1" t="inlineStr">
        <is>
          <t>passes_accurate</t>
        </is>
      </c>
      <c r="U1" t="inlineStr">
        <is>
          <t>passes_pct</t>
        </is>
      </c>
      <c r="V1" t="inlineStr">
        <is>
          <t>expected_goals</t>
        </is>
      </c>
      <c r="W1" t="inlineStr">
        <is>
          <t>goals_prevented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date</t>
        </is>
      </c>
      <c r="C1" t="inlineStr">
        <is>
          <t>league</t>
        </is>
      </c>
      <c r="D1" t="inlineStr">
        <is>
          <t>country</t>
        </is>
      </c>
      <c r="E1" t="inlineStr">
        <is>
          <t>home</t>
        </is>
      </c>
      <c r="F1" t="inlineStr">
        <is>
          <t>away</t>
        </is>
      </c>
      <c r="G1" t="inlineStr">
        <is>
          <t>bookmaker</t>
        </is>
      </c>
      <c r="H1" t="inlineStr">
        <is>
          <t>market</t>
        </is>
      </c>
      <c r="I1" t="inlineStr">
        <is>
          <t>selection</t>
        </is>
      </c>
      <c r="J1" t="inlineStr">
        <is>
          <t>odd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Ejecución</t>
        </is>
      </c>
      <c r="B1" t="inlineStr">
        <is>
          <t>Fecha consultada</t>
        </is>
      </c>
      <c r="C1" t="inlineStr">
        <is>
          <t>Partidos encontrados</t>
        </is>
      </c>
      <c r="D1" t="inlineStr">
        <is>
          <t>BASE_DATOS nuevos</t>
        </is>
      </c>
      <c r="E1" t="inlineStr">
        <is>
          <t>API_STATS nuevos</t>
        </is>
      </c>
      <c r="F1" t="inlineStr">
        <is>
          <t>API_ODDS nuevos</t>
        </is>
      </c>
      <c r="G1" t="inlineStr">
        <is>
          <t>Países prioritarios</t>
        </is>
      </c>
    </row>
    <row r="2">
      <c r="A2" t="inlineStr">
        <is>
          <t>2026-08-19 13:53:58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Finland, Iceland</t>
        </is>
      </c>
    </row>
    <row r="3">
      <c r="A3" t="inlineStr">
        <is>
          <t>2026-08-19 14:10:47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Finland, Iceland</t>
        </is>
      </c>
    </row>
    <row r="4">
      <c r="A4" t="inlineStr">
        <is>
          <t>2026-08-19 14:28:10</t>
        </is>
      </c>
      <c r="B4" t="inlineStr">
        <is>
          <t>2026-08-19</t>
        </is>
      </c>
      <c r="C4" t="n">
        <v>35</v>
      </c>
      <c r="D4" t="n">
        <v>35</v>
      </c>
      <c r="E4" t="n">
        <v>0</v>
      </c>
      <c r="F4" t="n">
        <v>0</v>
      </c>
      <c r="G4" t="inlineStr">
        <is>
          <t>Finland, Iceland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2026-08-19T10:36:16Z</dcterms:created>
  <dcterms:modified xsi:type="dcterms:W3CDTF">2026-08-19T14:28:10Z</dcterms:modified>
</cp:coreProperties>
</file>